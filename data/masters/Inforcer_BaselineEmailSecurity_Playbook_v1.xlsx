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Baseline Email Security" sheetId="2" state="visible" r:id="rId4"/>
    <sheet name="🚫 Excluded Items" sheetId="3" state="visible" r:id="rId5"/>
    <sheet name="📖 How To Us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<sst xmlns="http://schemas.openxmlformats.org/spreadsheetml/2006/main" count="364" uniqueCount="226">
  <si>
    <t xml:space="preserve">[Client Name] — Baseline Email Security Verification Playbook</t>
  </si>
  <si>
    <t xml:space="preserve">Inforcer Baseline Documentation  |  Generated 2026-07-02  |  32 policies across 2 products  |  Sourced from Microsoft Learn</t>
  </si>
  <si>
    <t xml:space="preserve">Total Policies</t>
  </si>
  <si>
    <t xml:space="preserve">Not Verified</t>
  </si>
  <si>
    <t xml:space="preserve">In Progress</t>
  </si>
  <si>
    <t xml:space="preserve">Verified</t>
  </si>
  <si>
    <t xml:space="preserve">% Verified</t>
  </si>
  <si>
    <t xml:space="preserve">Progress by Category</t>
  </si>
  <si>
    <t xml:space="preserve">Category</t>
  </si>
  <si>
    <t xml:space="preserve">Total</t>
  </si>
  <si>
    <t xml:space="preserve">% Done</t>
  </si>
  <si>
    <t xml:space="preserve">Core Email Security Policies</t>
  </si>
  <si>
    <t xml:space="preserve">Mail Flow Hardening</t>
  </si>
  <si>
    <t xml:space="preserve">Non-Email-Security Baseline Items</t>
  </si>
  <si>
    <t xml:space="preserve">Impact &amp; Status Legend</t>
  </si>
  <si>
    <t xml:space="preserve">HIGH Impact</t>
  </si>
  <si>
    <t xml:space="preserve">MEDIUM Impact</t>
  </si>
  <si>
    <t xml:space="preserve">LOW Impact</t>
  </si>
  <si>
    <t xml:space="preserve">Drift Detected</t>
  </si>
  <si>
    <t xml:space="preserve">[Client Name] — Inforcer Baseline Email Security Configuration Snapshot  |  2026-07-02  |  Impact sourced from Microsoft Learn</t>
  </si>
  <si>
    <t xml:space="preserve">#</t>
  </si>
  <si>
    <t xml:space="preserve">Product</t>
  </si>
  <si>
    <t xml:space="preserve">Policy Name</t>
  </si>
  <si>
    <t xml:space="preserve">Impact</t>
  </si>
  <si>
    <t xml:space="preserve">What It Does</t>
  </si>
  <si>
    <t xml:space="preserve">Current Settings (Baseline)</t>
  </si>
  <si>
    <t xml:space="preserve">Portal Path</t>
  </si>
  <si>
    <t xml:space="preserve">Notes / Verification Tips</t>
  </si>
  <si>
    <t xml:space="preserve">Status</t>
  </si>
  <si>
    <t xml:space="preserve">Verified Date</t>
  </si>
  <si>
    <t xml:space="preserve">Tech</t>
  </si>
  <si>
    <t xml:space="preserve">Drift / Change Notes</t>
  </si>
  <si>
    <t xml:space="preserve">Defender for Office 365</t>
  </si>
  <si>
    <t xml:space="preserve">Inforcer - Safe Links Policy</t>
  </si>
  <si>
    <t xml:space="preserve">MEDIUM</t>
  </si>
  <si>
    <t xml:space="preserve">Custom Safe Links policy (not preset-derived) that scans and rewrites URLs in email at time-of-click, blocking malicious links even if they're weaponized after delivery. Applies to internal senders as well as external.</t>
  </si>
  <si>
    <t xml:space="preserve">AllowClickThrough: False | EnableForInternalSenders: True | ScanUrls: True | DeliverMessageAfterScan: True | TrackClicks: True | EnableOrgBranding: True</t>
  </si>
  <si>
    <t xml:space="preserve">Defender Portal &gt; Email &amp; Collaboration &gt; Policies &amp; Rules &gt; Threat Policies &gt; Safe Links</t>
  </si>
  <si>
    <t xml:space="preserve">Confirmed custom (not preset) via recommendedPolicyType field — readOnly:false, non-reserved identity. Values match Standard/Strict preset values exactly despite being custom, so protection level is equivalent. JSON export only contained the policy object; verify the paired SafeLinksRule shows correct recipient scoping via Get-SafeLinksRule.</t>
  </si>
  <si>
    <t xml:space="preserve">Inforcer - Outbound Spam Filter Policy</t>
  </si>
  <si>
    <t xml:space="preserve">LOW</t>
  </si>
  <si>
    <t xml:space="preserve">Custom outbound spam policy governing automatic forwarding, recipient rate limits, and suspicious-outbound-mail alerting for compromised-account detection.</t>
  </si>
  <si>
    <t xml:space="preserve">AutoForwardingMode: Off | RecipientLimitExternalPerHour: 500 | RecipientLimitInternalPerHour: 1000 | RecipientLimitPerDay: 1000 | ActionWhenThresholdReached: BlockUser | BccSuspiciousOutboundMail: True (see notes)</t>
  </si>
  <si>
    <t xml:space="preserve">Defender Portal &gt; Email &amp; Collaboration &gt; Policies &amp; Rules &gt; Threat Policies &gt; Anti-spam &gt; Outbound</t>
  </si>
  <si>
    <t xml:space="preserve">IMPORTANT: Microsoft's own documentation states the suspicious-outbound Bcc setting only functions in the Default outbound policy and does NOT work in custom outbound policies. This policy is custom, so BccSuspiciousOutboundMail is configured but non-functional — flag to client if they believe this Bcc is providing visibility. Verify recipient scoping via Get-HostedOutboundSpamFilterRule.</t>
  </si>
  <si>
    <t xml:space="preserve">Inforcer - Safe Attachments Policy</t>
  </si>
  <si>
    <t xml:space="preserve">Custom Safe Attachments policy that detonates email attachments in a sandbox before delivery, blocking malware-laden files.</t>
  </si>
  <si>
    <t xml:space="preserve">Enable: True | Action: Block | QuarantineTag: DefaultFullAccessPolicy (deviation, see notes) | Redirect: False | EnableOrgBranding: False</t>
  </si>
  <si>
    <t xml:space="preserve">Defender Portal &gt; Email &amp; Collaboration &gt; Policies &amp; Rules &gt; Threat Policies &gt; Safe Attachments</t>
  </si>
  <si>
    <t xml:space="preserve">DEVIATION: Microsoft's Standard/Strict recommended quarantine tag is AdminOnlyAccessPolicy; this policy uses DefaultFullAccessPolicy instead. Self-release is still hard-blocked regardless, but visibility/notification permissions differ. Same deviation found on Anti-Malware policy (see below) — treat as one conversation with client, not two. Verify recipient scoping via Get-SafeAttachmentRule.</t>
  </si>
  <si>
    <t xml:space="preserve">Inforcer - Anti-Malware Policy</t>
  </si>
  <si>
    <t xml:space="preserve">Custom anti-malware policy scanning all attachments against a 52-extension common-attachments filter, with zero-hour auto purge for post-delivery detection.</t>
  </si>
  <si>
    <t xml:space="preserve">EnableFileFilter: True | FileTypeAction: Reject | ZapEnabled: True | QuarantineTag: DefaultFullAccessPolicy (deviation) | InternalSenderAdminNotifications: True | ExternalSenderAdminNotifications: False</t>
  </si>
  <si>
    <t xml:space="preserve">Defender Portal &gt; Email &amp; Collaboration &gt; Policies &amp; Rules &gt; Threat Policies &gt; Anti-malware</t>
  </si>
  <si>
    <t xml:space="preserve">File-type list confirmed to match Microsoft's default 52-extension list exactly — no gap there. DEVIATION: QuarantineTag uses DefaultFullAccessPolicy vs. Microsoft's recommended AdminOnlyAccessPolicy — same pattern as Safe Attachments above. EnableFileFilter/FileTypeAction/ZapEnabled all match Standard/Strict exactly. Verify recipient scoping via Get-MalwareFilterRule.</t>
  </si>
  <si>
    <t xml:space="preserve">Inforcer - Anti-Phishing Policy</t>
  </si>
  <si>
    <t xml:space="preserve">HIGH</t>
  </si>
  <si>
    <t xml:space="preserve">Custom anti-phishing policy covering spoof intelligence, DMARC honoring, mailbox intelligence, and user/domain impersonation protection.</t>
  </si>
  <si>
    <t xml:space="preserve">PhishThresholdLevel: 3 (Standard) | AuthenticationFailAction: MoveToJmf | MailboxIntelligenceProtectionAction: Quarantine (Strict-level) | EnableTargetedUserProtection: True but TargetedUsersToProtect: EMPTY | EnableTargetedDomainsProtection: False</t>
  </si>
  <si>
    <t xml:space="preserve">Defender Portal &gt; Email &amp; Collaboration &gt; Policies &amp; Rules &gt; Threat Policies &gt; Anti-phishing</t>
  </si>
  <si>
    <t xml:space="preserve">CRITICAL GAP: user impersonation protection is switched ON but has zero protected senders configured — it is not currently protecting anyone. Needs the client's list of executives/finance/owners added before it functions. Also: domain impersonation for partner/vendor domains is fully off. Policy is a blend of Standard and Strict values, not a clean copy of either — confirm this was intentional. Impersonation quarantine tags also use DefaultFullAccessPolicy vs. recommended DefaultFullAccessWithNotificationPolicy.</t>
  </si>
  <si>
    <t xml:space="preserve">Inforcer - Inbound Spam Filter Policy</t>
  </si>
  <si>
    <t xml:space="preserve">Custom anti-spam policy covering bulk mail, spam, high confidence spam, phishing, and high confidence phishing verdicts and actions, plus Advanced Spam Filter (ASF) settings.</t>
  </si>
  <si>
    <t xml:space="preserve">BulkThreshold: 6 (Standard) | HighConfidencePhishQuarantineTag: DefaultFullAccessPolicy (deviation) | BulkQuarantineTag/SpamQuarantineTag: 'Inforcer - LimitedAccess-RequestByUser' (custom) | All 13 ASF settings: Off (matches recommended)</t>
  </si>
  <si>
    <t xml:space="preserve">Defender Portal &gt; Email &amp; Collaboration &gt; Policies &amp; Rules &gt; Threat Policies &gt; Anti-spam &gt; Inbound</t>
  </si>
  <si>
    <t xml:space="preserve">STRONGEST DEVIATION FOUND IN REVIEW: HighConfidencePhishQuarantineTag uses DefaultFullAccessPolicy where Microsoft recommends AdminOnlyAccessPolicy at every tier (Default/Standard/Strict all agree — no exceptions). Prioritize fixing this first. All ASF settings correctly Off (matches best practice, ASF is being deprecated). Custom quarantine tag confirmed to be the same bespoke object used elsewhere in the baseline (see Quarantine Policy row below).</t>
  </si>
  <si>
    <t xml:space="preserve">Inforcer - LimitedAccess-RequestByUser</t>
  </si>
  <si>
    <t xml:space="preserve">Custom quarantine policy (permission set) referenced by the Spoof action (Anti-Phishing), Bulk, and Spam verdicts (Inbound Spam Filter). Grants Preview + Block sender + Request release, with quarantine notifications on; no self-release, no delete, no allow-sender.</t>
  </si>
  <si>
    <t xml:space="preserve">EndUserQuarantinePermissionsValue: 26 (BlockSender+Preview+RequestRelease) | ESNEnabled: True | QuarantineRetentionDays: 15 (see notes) | Not Microsoft's built-in 'Limited access' preset (that one is bitmask 43)</t>
  </si>
  <si>
    <t xml:space="preserve">Defender Portal &gt; Email &amp; Collaboration &gt; Policies &amp; Rules &gt; Threat Policies &gt; Quarantine Policy</t>
  </si>
  <si>
    <t xml:space="preserve">Bitmask verified by hand-calculation (16+2+8=26, matches export). Retention conflict: this object specifies 15 days, but the Inbound Spam Filter Policy that assigns it specifies 30 days — per Microsoft docs, the anti-spam policy's retention value governs for spam-type quarantine, so 30 likely wins, but this wasn't fully confirmed. Also worth checking: Microsoft's own quarantine-tiering guide recommends this tier for regular Phishing, not Bulk/Spam — Inforcer applied it differently.</t>
  </si>
  <si>
    <t xml:space="preserve">Exchange</t>
  </si>
  <si>
    <t xml:space="preserve">ExternalInOutlook</t>
  </si>
  <si>
    <t xml:space="preserve">Enables the native 'External' tag Outlook displays next to a sender's name when the sender is outside the organization. Available across Outlook desktop, Mac, web, and mobile.</t>
  </si>
  <si>
    <t xml:space="preserve">Enabled: True | AllowList: not present in export — confirm via Get-ExternalInOutlook</t>
  </si>
  <si>
    <t xml:space="preserve">M365 Admin Center &gt; Settings &gt; Org Settings &gt; Security &amp; Privacy &gt; External Sender Tagging (or Set-ExternalInOutlook)</t>
  </si>
  <si>
    <t xml:space="preserve">Complements the Alert External Emails transport rule below — this is a header-area tag, the other is a body banner. Not the subject-line duplication scenario Microsoft warns against, so no conflict; genuine defense-in-depth. Confirm AllowList isn't unexpectedly empty if the client has legitimate always-external trusted partners.</t>
  </si>
  <si>
    <t xml:space="preserve">Mail Flow Security Settings</t>
  </si>
  <si>
    <t xml:space="preserve">Org-wide SMTP AUTH (legacy authenticated client SMTP submission) and legacy TLS fallback endpoint controls — a real anti-spoofing/credential-attack-surface reduction, not cosmetic.</t>
  </si>
  <si>
    <t xml:space="preserve">SmtpClientAuthenticationDisabled: True | AllowLegacyTLSClients: False</t>
  </si>
  <si>
    <t xml:space="preserve">Exchange Admin Center &gt; Settings &gt; Mail Flow</t>
  </si>
  <si>
    <t xml:space="preserve">SmtpClientAuthenticationDisabled:True is NOT the platform default (historically enabled unless Security Defaults/CA already blocks legacy auth) — this is deliberate hardening, worth crediting as real work. Confirm this doesn't conflict with any Conditional Access exclusions that might reopen the same path.</t>
  </si>
  <si>
    <t xml:space="preserve">Inforcer - Alert External Emails</t>
  </si>
  <si>
    <t xml:space="preserve">Mail flow rule that prepends a yellow HTML caution banner to the body of any message from an external sender to an internal recipient.</t>
  </si>
  <si>
    <t xml:space="preserve">FromScope: NotInOrganization | SentToScope: InOrganization | ApplyHtmlDisclaimerFallbackAction: Wrap | Priority: 2 | Mode: Enforce</t>
  </si>
  <si>
    <t xml:space="preserve">Exchange Admin Center &gt; Mail Flow &gt; Rules</t>
  </si>
  <si>
    <t xml:space="preserve">CRITICAL: Microsoft's documentation explicitly warns against using the Wrap fallback action on rules affecting external senders, stating it interferes with Safe Attachments scanning for the affected subset of messages. Recommended fix per Microsoft: change fallback to Reject. Confirm with client before changing — Reject bounces the sender instead of delivering wrapped, a real behavior change. Also confirm rule priority/ordering via Get-TransportRule since this export didn't show the full rule set.</t>
  </si>
  <si>
    <t xml:space="preserve">MailTips</t>
  </si>
  <si>
    <t xml:space="preserve">Compose-time Outlook warnings for senders — external recipient tip, large audience tip, moderated recipient tip, reply-all-on-Bcc tip.</t>
  </si>
  <si>
    <t xml:space="preserve">MailTipsAllTipsEnabled: True (default) | MailTipsExternalRecipientsTipsEnabled: True (NOT default, see notes) | MailTipsLargeAudienceThreshold: 25 (default)</t>
  </si>
  <si>
    <t xml:space="preserve">Exchange Admin Center &gt; Settings &gt; Mail Flow (MailTips panel)</t>
  </si>
  <si>
    <t xml:space="preserve">MailTipsExternalRecipientsTipsEnabled defaults to False on every fresh tenant — this being True is deliberate hardening, the compose-time complement to the Alert External Emails rule above (warns the sender before send, not just the recipient on receipt). If client later adds Attack Simulation Training (P2), this setting is already a prerequisite for simulation campaigns to render correctly.</t>
  </si>
  <si>
    <t xml:space="preserve">Authentication &amp; Session</t>
  </si>
  <si>
    <t xml:space="preserve">Confirms modern authentication (OAuth2) is active — foundational to Conditional Access/MFA actually applying to mail clients — plus configures an idle session timeout for Outlook on the web.</t>
  </si>
  <si>
    <t xml:space="preserve">OAuth2ClientProfileEnabled: True (matches default, confirmed not overridden) | ActivityBasedAuthenticationTimeoutEnabled: True | Timeout Interval: 1 hour | PreserveSSO: True | EnforceExoAppRbacPermissions: False</t>
  </si>
  <si>
    <t xml:space="preserve">M365 Admin Center &gt; Settings &gt; Org Settings &gt; Modern Authentication; Security &amp; Privacy &gt; Idle Session Timeout</t>
  </si>
  <si>
    <t xml:space="preserve">OAuth2ClientProfileEnabled:True is critical to confirm explicitly — if False, it would silently undermine the SMTP AUTH blocking above. Idle timeout is real access-control value independent of email filtering (protects unattended browser sessions on shared devices). EnforceExoAppRbacPermissions is a separate mechanism from EWS access control (see below) — don't conflate the two.</t>
  </si>
  <si>
    <t xml:space="preserve">Security &amp; Anti-Spoofing</t>
  </si>
  <si>
    <t xml:space="preserve">RejectDirectSend closes a real, actively-exploited spoofing technique: Direct Send is an unauthenticated Exchange Online SMTP endpoint (built for legacy printers/scanners) that threat actors abuse to spoof internal senders without any credentials, bypassing SPF/DKIM/DMARC.</t>
  </si>
  <si>
    <t xml:space="preserve">RejectDirectSend: True (NOT default — ships False, public preview feature) | MaskClientIpInReceivedHeadersEnabled: True | UnblockUnsafeSenderPromptEnabled: True | IPListBlocked: (empty)</t>
  </si>
  <si>
    <t xml:space="preserve">PowerShell only — Set-OrganizationConfig -RejectDirectSend (no confirmed portal path, feature in public preview)</t>
  </si>
  <si>
    <t xml:space="preserve">SINGLE MOST SIGNIFICANT FINDING IN THIS REVIEW. Confirmed deliberate hardening (default is off). CAUTION: enabling this can break legitimate mail flow from devices/apps relying on unauthenticated internal send — confirm the client's migration to authenticated SMTP/connector was completed before/alongside enabling, since it's already on. Watch for 550 5.7.68 rejection errors indicating something was missed. IRONSCALES' own public blog acknowledges this Microsoft control as genuinely significant.</t>
  </si>
  <si>
    <t xml:space="preserve">FindTime (Meeting Polls)</t>
  </si>
  <si>
    <t xml:space="preserve">Outlook meeting-poll add-in settings — attendee authentication, auto-schedule, poll locking, online meeting option.</t>
  </si>
  <si>
    <t xml:space="preserve">FindTimeAttendeeAuthenticationEnabled: False | FindTimeAutoScheduleDisabled: False (i.e. auto-schedule on) | FindTimeLockPollForAttendeesEnabled: False | FindTimeOnlineMeetingOptionDisabled: False</t>
  </si>
  <si>
    <t xml:space="preserve">PowerShell only — Set-OrganizationConfig (no confirmed portal path)</t>
  </si>
  <si>
    <t xml:space="preserve">Not email security — permissive default posture across all four settings, nothing hardened. No IRONSCALES-comparable capability.</t>
  </si>
  <si>
    <t xml:space="preserve">Public Folders</t>
  </si>
  <si>
    <t xml:space="preserve">Org-wide public folder deployment mode, quotas, and retention defaults.</t>
  </si>
  <si>
    <t xml:space="preserve">PublicFoldersEnabled: Local | RemotePublicFolderMailboxes: empty | DeletedItemRetention: 30 days | MovedItemRetention: 7 days | MaxItemSize: Unlimited | IssueWarningQuota: 1.7GB | ProhibitPostQuota: 2GB</t>
  </si>
  <si>
    <t xml:space="preserve">Exchange Admin Center &gt; Public Folders (org-wide defaults via PowerShell)</t>
  </si>
  <si>
    <t xml:space="preserve">Confirms tenant has no on-premises Exchange hybrid dependency for public folders (Local mode, no remote mailboxes) — corroborated independently by the Hybrid/Directory Sync row below. PublicFolderShowClientControl's functional description could not be confirmed in Microsoft Learn — flag as unverified if it ever needs to be relied on.</t>
  </si>
  <si>
    <t xml:space="preserve">Calendar &amp; Meetings</t>
  </si>
  <si>
    <t xml:space="preserve">'Speedy meetings' auto-shortening behavior, hybrid RSVP tracking, and meeting update message visibility rules.</t>
  </si>
  <si>
    <t xml:space="preserve">ShortenEventScopeDefault: None (feature staged but not applied org-wide) | DefaultMinutesToReduceShortEventsBy: 5 | DefaultMinutesToReduceLongEventsBy: 10 | VisibleMeetingUpdateProperties: Location,AllProperties:15</t>
  </si>
  <si>
    <t xml:space="preserve">Not email security. HybridRSVPEnabled and MatchSenderOrganizerProperties have no documented functional description in Microsoft Learn — reported as configured only, not interpreted.</t>
  </si>
  <si>
    <t xml:space="preserve">Distribution Groups &amp; M365 Groups</t>
  </si>
  <si>
    <t xml:space="preserve">Default access type for new M365 Groups, distribution group naming governance, and a few group-folder/content behaviors.</t>
  </si>
  <si>
    <t xml:space="preserve">DefaultGroupAccessType: Private (matches Microsoft default, the conservative choice) | DistributionGroupNamingPolicy: empty (no naming convention enforced) | IsGroupMemberAllowedToEditContent: False (matches default)</t>
  </si>
  <si>
    <t xml:space="preserve">M365 Admin Center &gt; Settings &gt; Org Settings &gt; Microsoft 365 Groups</t>
  </si>
  <si>
    <t xml:space="preserve">DefaultGroupAccessType:Private is the one setting here with genuine access-control relevance and it's correctly conservative. Six of ten fields in this policy are name-based inference only, not confirmed Microsoft documentation — verify directly if any matter for a specific client conversation.</t>
  </si>
  <si>
    <t xml:space="preserve">Mail Flow Message Recall Settings</t>
  </si>
  <si>
    <t xml:space="preserve">Cloud-based Message Recall — lets a sender pull back a sent message, including (with the newer capability) already-read messages.</t>
  </si>
  <si>
    <t xml:space="preserve">MessageRecallEnabled: True (matches effective default, null=true) | RecallReadMessagesEnabled: True | MaxRecallableAge: 365 days | AlertRecipients settings: both False</t>
  </si>
  <si>
    <t xml:space="preserve">Exchange Admin Center &gt; Mail Flow &gt; Message Recall</t>
  </si>
  <si>
    <t xml:space="preserve">SECOND EXPORT DISCREPANCY: a separate Inforcer export of this same underlying policy (see 'Message Recall' row below, tagged Organization Config) shows RecallReadMessagesEnabled as null instead of True — genuinely unresolved, no confirmed Microsoft default exists for this specific field the way it does for MessageRecallEnabled. Confirm directly: Get-OrganizationConfig | Select RecallReadMessagesEnabled. Recall does not work cross-org — not a DLP control if asked.</t>
  </si>
  <si>
    <t xml:space="preserve">Mail Flow General Settings</t>
  </si>
  <si>
    <t xml:space="preserve">Plus-addressing (tag+detail@domain.com) and send-from-alias feature toggles.</t>
  </si>
  <si>
    <t xml:space="preserve">DisablePlusAddressInRecipients: False (plus addressing allowed, receive-only, cannot be used to send) | SendFromAliasEnabled: False</t>
  </si>
  <si>
    <t xml:space="preserve">Exchange Admin Center &gt; Settings &gt; Mail Flow (plus addressing checkbox)</t>
  </si>
  <si>
    <t xml:space="preserve">Plus addressing confirmed via Microsoft docs to be receive-side only — cannot be used to send mail, so no spoofing/send-as risk despite being enabled. Not a security-relevant setting.</t>
  </si>
  <si>
    <t xml:space="preserve">Mail Flow Reply All Storm Protection Settings</t>
  </si>
  <si>
    <t xml:space="preserve">Automatic mitigation for reply-all storms — detects and blocks re-triggering when a large-recipient thread gets excessive reply-all responses.</t>
  </si>
  <si>
    <t xml:space="preserve">ReplyAllStormProtectionEnabled: True | MinimumRecipients: 2500 | MinimumReplies: 10 | BlockDurationHours: 6</t>
  </si>
  <si>
    <t xml:space="preserve">Exchange Admin Center &gt; Reports &gt; Mail Flow &gt; Reply-all Storm Protection Report (report view only; config is PowerShell-only)</t>
  </si>
  <si>
    <t xml:space="preserve">Confirmed to match Microsoft's current platform default exactly (corroborated via independent Get-TransportConfig output and Microsoft's 2023 changelog) — this is inherited default behavior, not an Inforcer customization. Closest thing to a genuine availability/resilience control in the non-email-security set.</t>
  </si>
  <si>
    <t xml:space="preserve">Microsoft Bookings</t>
  </si>
  <si>
    <t xml:space="preserve">Customer-facing appointment scheduling app — booking page authentication, staff detail exposure, membership approval, search indexing, and data collection settings.</t>
  </si>
  <si>
    <t xml:space="preserve">BookingsAuthEnabled: False (no sign-in required) | BookingsExposureOfStaffDetailsRestricted: False (staff details ARE shown) | BookingsMembershipApprovalRequired: False | BookingsSearchEngineIndexDisabled: True</t>
  </si>
  <si>
    <t xml:space="preserve">M365 Admin Center &gt; Settings &gt; Org Settings &gt; Bookings</t>
  </si>
  <si>
    <t xml:space="preserve">PRIVACY CALLOUT: combined settings mean staff names/availability are publicly visible to anyone with the booking link, and staff were never required to opt in. Standard for a customer scheduling tool, but worth confirming staff are aware — BookingsMembershipApprovalRequired:True is a one-setting fix if not. BookingsBlockedWordsEnabled has no description in Microsoft's own resource reference (confirmed documentation gap).</t>
  </si>
  <si>
    <t xml:space="preserve">Admin Notifications</t>
  </si>
  <si>
    <t xml:space="preserve">Legacy Exchange notification mechanism for organizational admin alerts, plus an unrelated legacy SharePoint Site Mailboxes setting.</t>
  </si>
  <si>
    <t xml:space="preserve">ExchangeNotificationEnabled: True | ExchangeNotificationRecipients: empty (see notes) | SiteMailboxCreationURL: not set</t>
  </si>
  <si>
    <t xml:space="preserve">Empty recipients list is NOT a gap — Microsoft's documentation confirms notifications go to all administrators by default when this field isn't set. This is a legacy/narrow channel, distinct from Message Center, Service Health, and Defender alert policies — don't treat as the client's primary admin-alerting backbone.</t>
  </si>
  <si>
    <t xml:space="preserve">Compliance &amp; Auditing</t>
  </si>
  <si>
    <t xml:space="preserve">Mailbox auditing (confirms Phase 6 checklist item), Customer Lockbox, DLP wait-on-send, and retention/read-tracking settings.</t>
  </si>
  <si>
    <t xml:space="preserve">AuditDisabled: False (auditing ON, confirms Phase 6) | CustomerLockboxEnabled: True (SKU gap, see notes) | DLPWaitOnSendEnabled: False (matches default) | ElcProcessingDisabled: False | ReadTrackingEnabled: False</t>
  </si>
  <si>
    <t xml:space="preserve">M365 Admin Center &gt; Settings &gt; Org Settings &gt; Security &amp; Privacy &gt; Customer Lockbox</t>
  </si>
  <si>
    <t xml:space="preserve">SKU-ENTITLEMENT FLAG: Customer Lockbox requires Microsoft 365/Office 365 E5 or an Information Protection and Compliance/Advanced Compliance add-on — NOT included in Business Premium. Toggle exists in the portal regardless of license and doesn't warn about the missing entitlement. This is very likely non-functional as configured — confirm with client whether they believe it's providing protection, since that would be a false sense of security worth correcting.</t>
  </si>
  <si>
    <t xml:space="preserve">Mail Flow &amp; Addressing</t>
  </si>
  <si>
    <t xml:space="preserve">Content transfer encoding, recipient delimiters, Multi-Geo in-region routing, and shared-domain email address flow settings.</t>
  </si>
  <si>
    <t xml:space="preserve">ByteEncoderTypeFor7BitCharsets: 0 | RecipientDelimiters: True (undocumented) | InRegionRoutingEnabled: False | SharedDomainEmailAddressFlowEnabled: True (undocumented)</t>
  </si>
  <si>
    <t xml:space="preserve">DUPLICATE FIELDS: DisablePlusAddressInRecipients and SendFromAliasEnabled in this export are the exact same fields/values already covered under Mail Flow General Settings above — an Inforcer baseline structure quirk, not a conflict. RecipientDelimiters and SharedDomainEmailAddressFlowEnabled both show blank description text in Microsoft's own resource reference — genuinely undocumented, not just unverified.</t>
  </si>
  <si>
    <t xml:space="preserve">Outlook Experience</t>
  </si>
  <si>
    <t xml:space="preserve">17-field Outlook UX preference grouping — link previews, message highlights, two-click mail preview, public computer detection, default folder permissions, actionable messages, and more.</t>
  </si>
  <si>
    <t xml:space="preserve">TwoClickMailPreviewEnabled: False | PublicComputersDetectionEnabled: False | DefaultFolderPermissionRestricted: False (undocumented) | ActionableMessagesExtenalAccessTokenEnabled: False (see notes) | 13 other pure-UX toggles</t>
  </si>
  <si>
    <t xml:space="preserve">M365 Admin Center &gt; Settings &gt; Org Settings &gt; Outlook</t>
  </si>
  <si>
    <t xml:space="preserve">TwoClickMailPreviewEnabled and PublicComputersDetectionEnabled are plausibly security-adjacent but have no confirmed Microsoft Learn description — reported based on general familiarity, not verified fact. ActionableMessagesExtenalAccessTokenEnabled controlled legacy 'EAT' authentication for Actionable Messages, which Microsoft fully retired June 8, 2026 — this field is likely a no-op now regardless of value (see Connectors &amp; Actionable Messages row).</t>
  </si>
  <si>
    <t xml:space="preserve">Mobile &amp; Workspace</t>
  </si>
  <si>
    <t xml:space="preserve">GCC (Government Community Cloud) feature restrictions for Outlook Mobile, Outlook Pay, and Microsoft Places workspace features.</t>
  </si>
  <si>
    <t xml:space="preserve">OutlookMobileGCCRestrictionsEnabled: False | OutlookPayEnabled: False | WorkspaceTenantEnabled: True</t>
  </si>
  <si>
    <t xml:space="preserve">GCC restriction setting is moot — this is a standard commercial tenant, not GCC. WorkspaceTenantEnabled likely maps to Microsoft Places (desk booking/occupancy) based on naming/timing, but not a fully confirmed mapping. No security relevance in this policy.</t>
  </si>
  <si>
    <t xml:space="preserve">Hybrid / Directory Sync</t>
  </si>
  <si>
    <t xml:space="preserve">Autodiscover redirect behavior for hybrid/partial-directory-sync migration scenarios.</t>
  </si>
  <si>
    <t xml:space="preserve">AutodiscoverPartialDirSync: False</t>
  </si>
  <si>
    <t xml:space="preserve">Confirms tenant is fully cloud-only, not mid-hybrid-migration — corroborates the Public Folders row above (PublicFoldersEnabled:Local, no remote mailboxes). Two independent settings now support the same conclusion.</t>
  </si>
  <si>
    <t xml:space="preserve">Connectors &amp; Actionable Messages</t>
  </si>
  <si>
    <t xml:space="preserve">Master toggle for Outlook Connectors (third-party feed integrations) across Outlook/SharePoint/Teams/Yammer, plus Actionable Messages (interactive email cards) enablement.</t>
  </si>
  <si>
    <t xml:space="preserve">ConnectorsEnabled: False (all 4 surfaces disabled) | ConnectorsActionableMessagesEnabled: True | SmtpActionableMessagesEnabled: True</t>
  </si>
  <si>
    <t xml:space="preserve">Per-surface (Outlook &gt; Manage Add-ins; Teams Admin Center for Teams connectors) — no single unified portal page</t>
  </si>
  <si>
    <t xml:space="preserve">Actionable Messages security model confirmed solid: providers must register with Microsoft and pass DKIM/SPF or signed-card verification before their cards render as interactive — 'enabled' doesn't mean any email can contain a working button. Microsoft completed retirement of legacy EAT token authentication for Actionable Messages on June 8, 2026, which resolves the ActionableMessagesExtenalAccessTokenEnabled field flagged under Outlook Experience above. Connectors being fully off could be deliberate hardening or just Microsoft's own platform-wide Connectors retirement — can't distinguish from this export alone.</t>
  </si>
  <si>
    <t xml:space="preserve">Delayed Delicensing</t>
  </si>
  <si>
    <t xml:space="preserve">Exchange Online 'Delicensing Resiliency' — delays mailbox access removal by up to 30 days after a license is removed, giving admins time to catch accidental bulk delicensing before data loss.</t>
  </si>
  <si>
    <t xml:space="preserve">DelayedDelicensingEnabled: False | TenantAdminNotification: False | EndUserMailNotification: False (both correctly auto-set to False when base feature is disabled, per Microsoft docs)</t>
  </si>
  <si>
    <t xml:space="preserve">M365 Admin Center &gt; Active Users &gt; License Removed Recently (for Expedite-Delicensing); enable/disable is PowerShell-only</t>
  </si>
  <si>
    <t xml:space="preserve">Microsoft built this specifically in response to real-world cases of customers accidentally delicensing thousands of users at once, causing immediate mail flow disruption. Worth a direct question to the client: has this tenant (or others in the book of business) had a bulk delicensing incident, or is there a rigorous enough change-management process that this isn't needed? Costs nothing to enable if there's any real risk.</t>
  </si>
  <si>
    <t xml:space="preserve">EWS &amp; REST API Access</t>
  </si>
  <si>
    <t xml:space="preserve">Client application access control for Exchange Web Services (EWS) and REST, based on user-agent string blocklisting.</t>
  </si>
  <si>
    <t xml:space="preserve">EwsApplicationAccessPolicy: EnforceBlockList | EwsBlockList: MacOutlook/* (all versions), Microsoft Office/15.* (Office 2013) | EwsAllowEntourage: False (legacy, moot)</t>
  </si>
  <si>
    <t xml:space="preserve">IMPORTANT CONTEXT: Microsoft's own documentation states application-level EWS blocking is explicitly NOT a security feature — user-agent strings are trivially spoofed; credential auth remains the real boundary regardless of this list. MacOutlook/* blocks ALL Mac Outlook versions with no version qualifier — possibly a legacy mitigation tracing to a 2015 Mac Outlook CVE (MS15-033), but that was patched a decade ago; confirm with client whether this is intentional or stale, and whether Mac users are experiencing silent functionality gaps.</t>
  </si>
  <si>
    <t xml:space="preserve">Archive &amp; Retention</t>
  </si>
  <si>
    <t xml:space="preserve">Auto-archiving trigger threshold (moves old items to archive mailbox when primary mailbox nears capacity) and whether archive mailboxes are auto-provisioned.</t>
  </si>
  <si>
    <t xml:space="preserve">AutoArchivingThresholdPercentage: 96 (matches Microsoft's exact published default) | AutoEnableArchiveMailbox: False</t>
  </si>
  <si>
    <t xml:space="preserve">Exchange Admin Center &gt; Recipients &gt; Mailboxes &gt; (user) &gt; Others &gt; Manage Mailbox Archive (per-user manual enable)</t>
  </si>
  <si>
    <t xml:space="preserve">INTERACTION FINDING: Microsoft's docs confirm auto-archiving cannot provision archive mailboxes itself — it requires one to already exist. With AutoEnableArchiveMailbox:False, the 96% safety net is only live for users who already have an archive mailbox manually enabled; everyone else risks send/receive failures once genuinely full with no automatic relief. Run Get-Mailbox to check how many mailboxes lack an archive before deciding if this is a live risk.</t>
  </si>
  <si>
    <t xml:space="preserve">Message Recall (Organization Config export)</t>
  </si>
  <si>
    <t xml:space="preserve">Same underlying policy object as 'Mail Flow Message Recall Settings' above (identical id: message-recall), exported a second time under Inforcer's Organization Config category rather than Mail Flow Settings.</t>
  </si>
  <si>
    <t xml:space="preserve">MessageRecallEnabled: null (resolves to same effective state as True — Microsoft confirms null=true default) | RecallReadMessagesEnabled: null (see notes) | AutomaticForcedReadReceiptEnabled: False (new field not in the other export)</t>
  </si>
  <si>
    <t xml:space="preserve">See Mail Flow Message Recall Settings row above</t>
  </si>
  <si>
    <t xml:space="preserve">This is the discrepancy referenced in the Mail Flow Message Recall Settings row above — RecallReadMessagesEnabled shows True in one export and null in this one, and unlike MessageRecallEnabled, there's no confirmed Microsoft documentation stating null=true specifically for this field. Genuinely unresolved without a live Get-OrganizationConfig check. Kept as a separate row consistent with how Inforcer's own baseline represents it (mirrors the precedent of near-duplicate rows in the Tier 0 template).</t>
  </si>
  <si>
    <t xml:space="preserve">Excluded / N/A Items — Move rows here when a policy does not apply</t>
  </si>
  <si>
    <t xml:space="preserve">Reason Excluded</t>
  </si>
  <si>
    <t xml:space="preserve">Excluded By</t>
  </si>
  <si>
    <t xml:space="preserve">How To Use — Baseline Email Security Verification Playbook</t>
  </si>
  <si>
    <t xml:space="preserve">WHAT IS THIS BASELINE?</t>
  </si>
  <si>
    <t xml:space="preserve">Purpose</t>
  </si>
  <si>
    <t xml:space="preserve">This workbook documents the [Client Name] Inforcer email security baseline reviewed through the companion 'M365 Business Premium Email Security Hardening Guide' markdown document. It captures 32 policies across Defender for Office 365 and Exchange — core threat-prevention policies, mail flow hardening controls, and non-email-security provisioning items pulled from the same Inforcer baseline export. Impact ratings and 'What It Does' descriptions were researched against Microsoft Learn documentation.</t>
  </si>
  <si>
    <t xml:space="preserve">Impact Ratings</t>
  </si>
  <si>
    <t xml:space="preserve">HIGH = the policy's current configured state has a significant, actionable finding (empty impersonation protection list, a Microsoft-documented conflict, a SKU-entitlement gap, or a major default-vs-actual deviation). MEDIUM = moderate finding or genuine user-facing effect. LOW = matches recommended/default configuration or is backend-only with no material finding.</t>
  </si>
  <si>
    <t xml:space="preserve">Relationship to the markdown guide</t>
  </si>
  <si>
    <t xml:space="preserve">This spreadsheet is a tracking companion to the full write-up, not a replacement for it — the markdown guide contains full PowerShell/portal reproduction steps, deviation tables, and detailed reasoning for every row here. Use this sheet for status tracking across an engagement; use the guide for the full technical detail behind any given row.</t>
  </si>
  <si>
    <t xml:space="preserve">COLUMN GUIDE</t>
  </si>
  <si>
    <t xml:space="preserve">Impact (E)</t>
  </si>
  <si>
    <t xml:space="preserve">HIGH/MEDIUM/LOW based on the functional impact and significance of findings for this policy's current configuration. Sourced from Microsoft Learn docs and the detailed review already performed.</t>
  </si>
  <si>
    <t xml:space="preserve">What It Does (F)</t>
  </si>
  <si>
    <t xml:space="preserve">Plain-English description of what this policy actually does — sourced from Microsoft Learn documentation.</t>
  </si>
  <si>
    <t xml:space="preserve">Current Settings (G)</t>
  </si>
  <si>
    <t xml:space="preserve">The actual configured values extracted from the Inforcer baseline export, condensed to key fields.</t>
  </si>
  <si>
    <t xml:space="preserve">Notes / Verification Tips (I)</t>
  </si>
  <si>
    <t xml:space="preserve">Specific things to check, deviations found, or findings to be aware of when verifying this policy. HIGH impact rows carry the most consequential findings from the review — read these first.</t>
  </si>
  <si>
    <t xml:space="preserve">Status options</t>
  </si>
  <si>
    <t xml:space="preserve">Not Verified | In Progress | Verified | Drift Detected (setting has changed since this baseline was captured — investigate) | N/A</t>
  </si>
  <si>
    <t xml:space="preserve">WORKFLOW</t>
  </si>
  <si>
    <t xml:space="preserve">Step 1 — New engagement</t>
  </si>
  <si>
    <t xml:space="preserve">Copy this file and rename it for the client (e.g., ClientName_BaselineEmailSecurity_2026.xlsx). Do NOT work in the master template.</t>
  </si>
  <si>
    <t xml:space="preserve">Step 2 — Prioritize HIGH rows first</t>
  </si>
  <si>
    <t xml:space="preserve">Five rows are rated HIGH: Inforcer - Anti-Phishing Policy (empty impersonation protection list), Inforcer - Inbound Spam Filter Policy (High Confidence Phish quarantine tag deviates from every tier), Inforcer - Alert External Emails (Wrap/Safe Attachments conflict), Security &amp; Anti-Spoofing (RejectDirectSend operational caution), and Compliance &amp; Auditing (Customer Lockbox SKU-entitlement gap). These carry the most consequential findings from the review.</t>
  </si>
  <si>
    <t xml:space="preserve">Step 3 — Verify against live tenant</t>
  </si>
  <si>
    <t xml:space="preserve">For each row, confirm the Current Settings column against the live tenant (Get-* cmdlet noted in the markdown guide for that policy), update Status, Verified Date, and Tech.</t>
  </si>
  <si>
    <t xml:space="preserve">Step 4 — Drift tracking</t>
  </si>
  <si>
    <t xml:space="preserve">If a setting has changed since this baseline was captured, set Status to 'Drift Detected' and record what changed in the Drift / Change Notes column.</t>
  </si>
  <si>
    <t xml:space="preserve">Step 5 — Excluded items</t>
  </si>
  <si>
    <t xml:space="preserve">If a control doesn't apply (wrong license tier, client-specific exception, etc.), cut the row and paste it into the 🚫 Excluded Items sheet with a reason noted.</t>
  </si>
  <si>
    <t xml:space="preserve">Step 6 — Dashboard review</t>
  </si>
  <si>
    <t xml:space="preserve">Check the 📊 Dashboard tab to review % verified per category before closing the engagement or handing off.</t>
  </si>
</sst>
</file>

<file path=xl/styles.xml><?xml version="1.0" encoding="utf-8"?>
<styleSheet xmlns="http://schemas.openxmlformats.org/spreadsheetml/2006/main">
  <numFmts count="3">
    <numFmt numFmtId="164" formatCode="General"/>
    <numFmt numFmtId="165" formatCode="General"/>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AAAAAA"/>
      <name val="Arial"/>
      <family val="0"/>
      <charset val="1"/>
    </font>
    <font>
      <b val="true"/>
      <sz val="9"/>
      <color rgb="FFFFFFFF"/>
      <name val="Arial"/>
      <family val="0"/>
      <charset val="1"/>
    </font>
    <font>
      <b val="true"/>
      <sz val="20"/>
      <color rgb="FF0F6E56"/>
      <name val="Arial"/>
      <family val="0"/>
      <charset val="1"/>
    </font>
    <font>
      <b val="true"/>
      <sz val="10"/>
      <color rgb="FFFFFFFF"/>
      <name val="Arial"/>
      <family val="0"/>
      <charset val="1"/>
    </font>
    <font>
      <sz val="9"/>
      <color rgb="FF000000"/>
      <name val="Arial"/>
      <family val="0"/>
      <charset val="1"/>
    </font>
    <font>
      <b val="true"/>
      <sz val="9"/>
      <color rgb="FFB71C1C"/>
      <name val="Arial"/>
      <family val="0"/>
      <charset val="1"/>
    </font>
    <font>
      <b val="true"/>
      <sz val="9"/>
      <color rgb="FFE65100"/>
      <name val="Arial"/>
      <family val="0"/>
      <charset val="1"/>
    </font>
    <font>
      <b val="true"/>
      <sz val="9"/>
      <color rgb="FF1B5E20"/>
      <name val="Arial"/>
      <family val="0"/>
      <charset val="1"/>
    </font>
    <font>
      <b val="true"/>
      <sz val="9"/>
      <color rgb="FF3949AB"/>
      <name val="Arial"/>
      <family val="0"/>
      <charset val="1"/>
    </font>
    <font>
      <b val="true"/>
      <sz val="9"/>
      <color rgb="FF000000"/>
      <name val="Arial"/>
      <family val="0"/>
      <charset val="1"/>
    </font>
    <font>
      <b val="true"/>
      <sz val="11"/>
      <color rgb="FFFFFFFF"/>
      <name val="Arial"/>
      <family val="0"/>
      <charset val="1"/>
    </font>
    <font>
      <b val="true"/>
      <sz val="9"/>
      <color rgb="FF085041"/>
      <name val="Arial"/>
      <family val="0"/>
      <charset val="1"/>
    </font>
    <font>
      <b val="true"/>
      <sz val="9"/>
      <color rgb="FF0F6E56"/>
      <name val="Arial"/>
      <family val="0"/>
      <charset val="1"/>
    </font>
    <font>
      <b val="true"/>
      <sz val="9"/>
      <color rgb="FF2D5A4F"/>
      <name val="Arial"/>
      <family val="0"/>
      <charset val="1"/>
    </font>
    <font>
      <b val="true"/>
      <sz val="13"/>
      <color rgb="FFFFFFFF"/>
      <name val="Arial"/>
      <family val="0"/>
      <charset val="1"/>
    </font>
  </fonts>
  <fills count="18">
    <fill>
      <patternFill patternType="none"/>
    </fill>
    <fill>
      <patternFill patternType="gray125"/>
    </fill>
    <fill>
      <patternFill patternType="solid">
        <fgColor rgb="FF085041"/>
        <bgColor rgb="FF1B5E20"/>
      </patternFill>
    </fill>
    <fill>
      <patternFill patternType="solid">
        <fgColor rgb="FF1A1A2E"/>
        <bgColor rgb="FF003300"/>
      </patternFill>
    </fill>
    <fill>
      <patternFill patternType="solid">
        <fgColor rgb="FF0F6E56"/>
        <bgColor rgb="FF008080"/>
      </patternFill>
    </fill>
    <fill>
      <patternFill patternType="solid">
        <fgColor rgb="FFF0FAF6"/>
        <bgColor rgb="FFEAF7F1"/>
      </patternFill>
    </fill>
    <fill>
      <patternFill patternType="solid">
        <fgColor rgb="FF1D9E75"/>
        <bgColor rgb="FF008080"/>
      </patternFill>
    </fill>
    <fill>
      <patternFill patternType="solid">
        <fgColor rgb="FF2D5A4F"/>
        <bgColor rgb="FF1B5E20"/>
      </patternFill>
    </fill>
    <fill>
      <patternFill patternType="solid">
        <fgColor rgb="FFFFFFFF"/>
        <bgColor rgb="FFF0FAF6"/>
      </patternFill>
    </fill>
    <fill>
      <patternFill patternType="solid">
        <fgColor rgb="FFFDECEA"/>
        <bgColor rgb="FFF9F0FF"/>
      </patternFill>
    </fill>
    <fill>
      <patternFill patternType="solid">
        <fgColor rgb="FFFFF8E1"/>
        <bgColor rgb="FFFFF3CD"/>
      </patternFill>
    </fill>
    <fill>
      <patternFill patternType="solid">
        <fgColor rgb="FFE8EAF6"/>
        <bgColor rgb="FFE3F5EC"/>
      </patternFill>
    </fill>
    <fill>
      <patternFill patternType="solid">
        <fgColor rgb="FFDCF0E6"/>
        <bgColor rgb="FFE3F5EC"/>
      </patternFill>
    </fill>
    <fill>
      <patternFill patternType="solid">
        <fgColor rgb="FFE3F5EC"/>
        <bgColor rgb="FFEAF7F1"/>
      </patternFill>
    </fill>
    <fill>
      <patternFill patternType="solid">
        <fgColor rgb="FFEAF7F1"/>
        <bgColor rgb="FFF0FAF6"/>
      </patternFill>
    </fill>
    <fill>
      <patternFill patternType="solid">
        <fgColor rgb="FF6C3483"/>
        <bgColor rgb="FF7D3C98"/>
      </patternFill>
    </fill>
    <fill>
      <patternFill patternType="solid">
        <fgColor rgb="FF7D3C98"/>
        <bgColor rgb="FF6C3483"/>
      </patternFill>
    </fill>
    <fill>
      <patternFill patternType="solid">
        <fgColor rgb="FFF9F0FF"/>
        <bgColor rgb="FFF5F5F5"/>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5" fontId="7" fillId="5" borderId="0" xfId="0" applyFont="true" applyBorder="false" applyAlignment="true" applyProtection="false">
      <alignment horizontal="center" vertical="center" textRotation="0" wrapText="true" indent="0" shrinkToFit="false"/>
      <protection locked="true" hidden="false"/>
    </xf>
    <xf numFmtId="166" fontId="7" fillId="5" borderId="0" xfId="0" applyFont="true" applyBorder="fals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5" fontId="9" fillId="8" borderId="1" xfId="0" applyFont="true" applyBorder="true" applyAlignment="true" applyProtection="false">
      <alignment horizontal="center" vertical="center" textRotation="0" wrapText="true" indent="0" shrinkToFit="false"/>
      <protection locked="true" hidden="false"/>
    </xf>
    <xf numFmtId="166" fontId="9" fillId="8" borderId="1"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10" fillId="9" borderId="0" xfId="0" applyFont="true" applyBorder="false" applyAlignment="true" applyProtection="false">
      <alignment horizontal="center" vertical="center" textRotation="0" wrapText="true" indent="0" shrinkToFit="false"/>
      <protection locked="true" hidden="false"/>
    </xf>
    <xf numFmtId="164" fontId="11" fillId="10" borderId="0" xfId="0" applyFont="true" applyBorder="fals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center" vertical="center" textRotation="0" wrapText="tru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4" fillId="8" borderId="0" xfId="0" applyFont="true" applyBorder="fals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center" vertical="top" textRotation="0" wrapText="true" indent="0" shrinkToFit="false"/>
      <protection locked="true" hidden="false"/>
    </xf>
    <xf numFmtId="164" fontId="17" fillId="13" borderId="1" xfId="0" applyFont="true" applyBorder="true" applyAlignment="true" applyProtection="false">
      <alignment horizontal="left" vertical="top" textRotation="0" wrapText="true" indent="0" shrinkToFit="false"/>
      <protection locked="true" hidden="false"/>
    </xf>
    <xf numFmtId="164" fontId="18" fillId="14" borderId="1" xfId="0" applyFont="true" applyBorder="true" applyAlignment="true" applyProtection="false">
      <alignment horizontal="left" vertical="top" textRotation="0" wrapText="true" indent="0" shrinkToFit="false"/>
      <protection locked="true" hidden="false"/>
    </xf>
    <xf numFmtId="164" fontId="15" fillId="15" borderId="0" xfId="0" applyFont="true" applyBorder="true" applyAlignment="true" applyProtection="false">
      <alignment horizontal="center" vertical="center" textRotation="0" wrapText="true" indent="0" shrinkToFit="false"/>
      <protection locked="true" hidden="false"/>
    </xf>
    <xf numFmtId="164" fontId="6" fillId="16" borderId="1" xfId="0" applyFont="true" applyBorder="true" applyAlignment="true" applyProtection="false">
      <alignment horizontal="center" vertical="center" textRotation="0" wrapText="true" indent="0" shrinkToFit="false"/>
      <protection locked="true" hidden="false"/>
    </xf>
    <xf numFmtId="164" fontId="0" fillId="17" borderId="1" xfId="0" applyFont="false" applyBorder="true" applyAlignment="false" applyProtection="false">
      <alignment horizontal="general" vertical="bottom" textRotation="0" wrapText="false" indent="0" shrinkToFit="false"/>
      <protection locked="true" hidden="false"/>
    </xf>
    <xf numFmtId="164" fontId="19" fillId="2"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false" applyAlignment="true" applyProtection="false">
      <alignment horizontal="left" vertical="top" textRotation="0" wrapText="true" indent="0" shrinkToFit="false"/>
      <protection locked="true" hidden="false"/>
    </xf>
    <xf numFmtId="164" fontId="9" fillId="8"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8F0DC"/>
        </patternFill>
      </fill>
    </dxf>
    <dxf>
      <fill>
        <patternFill>
          <bgColor rgb="FFFFF3CD"/>
        </patternFill>
      </fill>
    </dxf>
    <dxf>
      <fill>
        <patternFill>
          <bgColor rgb="FFE8EAF6"/>
        </patternFill>
      </fill>
    </dxf>
    <dxf>
      <fill>
        <patternFill>
          <bgColor rgb="FFF5F5F5"/>
        </patternFill>
      </fill>
    </dxf>
  </dxfs>
  <colors>
    <indexedColors>
      <rgbColor rgb="FF000000"/>
      <rgbColor rgb="FFFFFFFF"/>
      <rgbColor rgb="FFFF0000"/>
      <rgbColor rgb="FF00FF00"/>
      <rgbColor rgb="FF0000FF"/>
      <rgbColor rgb="FFF0FAF6"/>
      <rgbColor rgb="FFFF00FF"/>
      <rgbColor rgb="FF00FFFF"/>
      <rgbColor rgb="FF800000"/>
      <rgbColor rgb="FF1B5E20"/>
      <rgbColor rgb="FF000080"/>
      <rgbColor rgb="FF808000"/>
      <rgbColor rgb="FF800080"/>
      <rgbColor rgb="FF0F6E56"/>
      <rgbColor rgb="FFB0B0B0"/>
      <rgbColor rgb="FF808080"/>
      <rgbColor rgb="FF9999FF"/>
      <rgbColor rgb="FF7D3C98"/>
      <rgbColor rgb="FFFFF8E1"/>
      <rgbColor rgb="FFE3F5EC"/>
      <rgbColor rgb="FF660066"/>
      <rgbColor rgb="FFFF8080"/>
      <rgbColor rgb="FF0066CC"/>
      <rgbColor rgb="FFE8EAF6"/>
      <rgbColor rgb="FF000080"/>
      <rgbColor rgb="FFFF00FF"/>
      <rgbColor rgb="FFFFFF00"/>
      <rgbColor rgb="FF00FFFF"/>
      <rgbColor rgb="FF800080"/>
      <rgbColor rgb="FF800000"/>
      <rgbColor rgb="FF008080"/>
      <rgbColor rgb="FF0000FF"/>
      <rgbColor rgb="FF00CCFF"/>
      <rgbColor rgb="FFDCF0E6"/>
      <rgbColor rgb="FFC8F0DC"/>
      <rgbColor rgb="FFFFF3CD"/>
      <rgbColor rgb="FFEAF7F1"/>
      <rgbColor rgb="FFF9F0FF"/>
      <rgbColor rgb="FFF5F5F5"/>
      <rgbColor rgb="FFFDECEA"/>
      <rgbColor rgb="FF3366FF"/>
      <rgbColor rgb="FF33CCCC"/>
      <rgbColor rgb="FF99CC00"/>
      <rgbColor rgb="FFFFCC00"/>
      <rgbColor rgb="FFFF9900"/>
      <rgbColor rgb="FFE65100"/>
      <rgbColor rgb="FF666699"/>
      <rgbColor rgb="FFAAAAAA"/>
      <rgbColor rgb="FF085041"/>
      <rgbColor rgb="FF1D9E75"/>
      <rgbColor rgb="FF003300"/>
      <rgbColor rgb="FF2D5A4F"/>
      <rgbColor rgb="FFB71C1C"/>
      <rgbColor rgb="FF6C3483"/>
      <rgbColor rgb="FF3949AB"/>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6" min="3" style="0" width="14"/>
    <col collapsed="false" customWidth="true" hidden="false" outlineLevel="0" max="7" min="7" style="0" width="3"/>
  </cols>
  <sheetData>
    <row r="1" customFormat="false" ht="36" hidden="false" customHeight="true" outlineLevel="0" collapsed="false">
      <c r="B1" s="1" t="s">
        <v>0</v>
      </c>
      <c r="C1" s="1"/>
      <c r="D1" s="1"/>
      <c r="E1" s="1"/>
      <c r="F1" s="1"/>
    </row>
    <row r="2" customFormat="false" ht="18" hidden="false" customHeight="true" outlineLevel="0" collapsed="false">
      <c r="B2" s="2" t="s">
        <v>1</v>
      </c>
      <c r="C2" s="2"/>
      <c r="D2" s="2"/>
      <c r="E2" s="2"/>
      <c r="F2" s="2"/>
    </row>
    <row r="3" customFormat="false" ht="7.5" hidden="false" customHeight="true" outlineLevel="0" collapsed="false"/>
    <row r="4" customFormat="false" ht="18" hidden="false" customHeight="true" outlineLevel="0" collapsed="false">
      <c r="B4" s="3" t="s">
        <v>2</v>
      </c>
      <c r="C4" s="3" t="s">
        <v>3</v>
      </c>
      <c r="D4" s="3" t="s">
        <v>4</v>
      </c>
      <c r="E4" s="3" t="s">
        <v>5</v>
      </c>
      <c r="F4" s="3" t="s">
        <v>6</v>
      </c>
    </row>
    <row r="5" customFormat="false" ht="37.5" hidden="false" customHeight="true" outlineLevel="0" collapsed="false">
      <c r="B5" s="4" t="n">
        <f aca="false">COUNTA('✅ Baseline Email Security'!A3:A1000)</f>
        <v>32</v>
      </c>
      <c r="C5" s="4" t="n">
        <f aca="false">COUNTIF('✅ Baseline Email Security'!J:J,"Not Verified")</f>
        <v>32</v>
      </c>
      <c r="D5" s="4" t="n">
        <f aca="false">COUNTIF('✅ Baseline Email Security'!J:J,"In Progress")</f>
        <v>0</v>
      </c>
      <c r="E5" s="4" t="n">
        <f aca="false">COUNTIF('✅ Baseline Email Security'!J:J,"Verified")</f>
        <v>0</v>
      </c>
      <c r="F5" s="5" t="n">
        <f aca="false">IFERROR(E5/B5,0)</f>
        <v>0</v>
      </c>
    </row>
    <row r="6" customFormat="false" ht="7.5" hidden="false" customHeight="true" outlineLevel="0" collapsed="false"/>
    <row r="7" customFormat="false" ht="19.5" hidden="false" customHeight="true" outlineLevel="0" collapsed="false">
      <c r="B7" s="6" t="s">
        <v>7</v>
      </c>
      <c r="C7" s="6"/>
      <c r="D7" s="6"/>
      <c r="E7" s="6"/>
      <c r="F7" s="6"/>
    </row>
    <row r="8" customFormat="false" ht="18" hidden="false" customHeight="true" outlineLevel="0" collapsed="false">
      <c r="B8" s="7" t="s">
        <v>8</v>
      </c>
      <c r="C8" s="7" t="s">
        <v>9</v>
      </c>
      <c r="D8" s="7" t="s">
        <v>5</v>
      </c>
      <c r="E8" s="7" t="s">
        <v>4</v>
      </c>
      <c r="F8" s="7" t="s">
        <v>10</v>
      </c>
    </row>
    <row r="9" customFormat="false" ht="15.75" hidden="false" customHeight="true" outlineLevel="0" collapsed="false">
      <c r="B9" s="8" t="s">
        <v>11</v>
      </c>
      <c r="C9" s="9" t="n">
        <f aca="false">COUNTIF('✅ Baseline Email Security'!C:C,"Core Email Security Policies")</f>
        <v>7</v>
      </c>
      <c r="D9" s="9" t="n">
        <f aca="false">COUNTIFS('✅ Baseline Email Security'!C:C,"Core Email Security Policies",'✅ Baseline Email Security'!J:J,"Verified")</f>
        <v>0</v>
      </c>
      <c r="E9" s="9" t="n">
        <f aca="false">COUNTIFS('✅ Baseline Email Security'!C:C,"Core Email Security Policies",'✅ Baseline Email Security'!J:J,"In Progress")</f>
        <v>0</v>
      </c>
      <c r="F9" s="10" t="n">
        <f aca="false">IFERROR(D9/C9,0)</f>
        <v>0</v>
      </c>
    </row>
    <row r="10" customFormat="false" ht="15.75" hidden="false" customHeight="true" outlineLevel="0" collapsed="false">
      <c r="B10" s="11" t="s">
        <v>12</v>
      </c>
      <c r="C10" s="12" t="n">
        <f aca="false">COUNTIF('✅ Baseline Email Security'!C:C,"Mail Flow Hardening")</f>
        <v>9</v>
      </c>
      <c r="D10" s="12" t="n">
        <f aca="false">COUNTIFS('✅ Baseline Email Security'!C:C,"Mail Flow Hardening",'✅ Baseline Email Security'!J:J,"Verified")</f>
        <v>0</v>
      </c>
      <c r="E10" s="12" t="n">
        <f aca="false">COUNTIFS('✅ Baseline Email Security'!C:C,"Mail Flow Hardening",'✅ Baseline Email Security'!J:J,"In Progress")</f>
        <v>0</v>
      </c>
      <c r="F10" s="13" t="n">
        <f aca="false">IFERROR(D10/C10,0)</f>
        <v>0</v>
      </c>
    </row>
    <row r="11" customFormat="false" ht="15.75" hidden="false" customHeight="true" outlineLevel="0" collapsed="false">
      <c r="B11" s="8" t="s">
        <v>13</v>
      </c>
      <c r="C11" s="9" t="n">
        <f aca="false">COUNTIF('✅ Baseline Email Security'!C:C,"Non-Email-Security Baseline Items")</f>
        <v>16</v>
      </c>
      <c r="D11" s="9" t="n">
        <f aca="false">COUNTIFS('✅ Baseline Email Security'!C:C,"Non-Email-Security Baseline Items",'✅ Baseline Email Security'!J:J,"Verified")</f>
        <v>0</v>
      </c>
      <c r="E11" s="9" t="n">
        <f aca="false">COUNTIFS('✅ Baseline Email Security'!C:C,"Non-Email-Security Baseline Items",'✅ Baseline Email Security'!J:J,"In Progress")</f>
        <v>0</v>
      </c>
      <c r="F11" s="10" t="n">
        <f aca="false">IFERROR(D11/C11,0)</f>
        <v>0</v>
      </c>
    </row>
    <row r="13" customFormat="false" ht="18" hidden="false" customHeight="true" outlineLevel="0" collapsed="false">
      <c r="B13" s="14" t="s">
        <v>14</v>
      </c>
      <c r="C13" s="14"/>
      <c r="D13" s="14"/>
      <c r="E13" s="14"/>
      <c r="F13" s="14"/>
    </row>
    <row r="14" customFormat="false" ht="18" hidden="false" customHeight="true" outlineLevel="0" collapsed="false">
      <c r="B14" s="15" t="s">
        <v>15</v>
      </c>
      <c r="C14" s="16" t="s">
        <v>16</v>
      </c>
      <c r="D14" s="17" t="s">
        <v>17</v>
      </c>
      <c r="E14" s="18" t="s">
        <v>18</v>
      </c>
      <c r="F14" s="19" t="s">
        <v>3</v>
      </c>
    </row>
  </sheetData>
  <mergeCells count="4">
    <mergeCell ref="B1:F1"/>
    <mergeCell ref="B2:F2"/>
    <mergeCell ref="B7:F7"/>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0"/>
    <col collapsed="false" customWidth="true" hidden="false" outlineLevel="0" max="4" min="4" style="0" width="40"/>
    <col collapsed="false" customWidth="true" hidden="false" outlineLevel="0" max="5" min="5" style="0" width="12"/>
    <col collapsed="false" customWidth="true" hidden="false" outlineLevel="0" max="7" min="6" style="0" width="55"/>
    <col collapsed="false" customWidth="true" hidden="false" outlineLevel="0" max="8" min="8" style="0" width="42"/>
    <col collapsed="false" customWidth="true" hidden="false" outlineLevel="0" max="9" min="9" style="0" width="55"/>
    <col collapsed="false" customWidth="true" hidden="false" outlineLevel="0" max="10" min="10" style="0" width="16"/>
    <col collapsed="false" customWidth="true" hidden="false" outlineLevel="0" max="11" min="11" style="0" width="14"/>
    <col collapsed="false" customWidth="true" hidden="false" outlineLevel="0" max="12" min="12" style="0" width="10"/>
    <col collapsed="false" customWidth="true" hidden="false" outlineLevel="0" max="13" min="13" style="0" width="40"/>
  </cols>
  <sheetData>
    <row r="1" customFormat="false" ht="25.5" hidden="false" customHeight="true" outlineLevel="0" collapsed="false">
      <c r="A1" s="20" t="s">
        <v>19</v>
      </c>
      <c r="B1" s="20"/>
      <c r="C1" s="20"/>
      <c r="D1" s="20"/>
      <c r="E1" s="20"/>
      <c r="F1" s="20"/>
      <c r="G1" s="20"/>
      <c r="H1" s="20"/>
      <c r="I1" s="20"/>
      <c r="J1" s="20"/>
      <c r="K1" s="20"/>
      <c r="L1" s="20"/>
      <c r="M1" s="20"/>
    </row>
    <row r="2" customFormat="false" ht="30" hidden="false" customHeight="true" outlineLevel="0" collapsed="false">
      <c r="A2" s="21" t="s">
        <v>20</v>
      </c>
      <c r="B2" s="21" t="s">
        <v>21</v>
      </c>
      <c r="C2" s="21" t="s">
        <v>8</v>
      </c>
      <c r="D2" s="21" t="s">
        <v>22</v>
      </c>
      <c r="E2" s="21" t="s">
        <v>23</v>
      </c>
      <c r="F2" s="21" t="s">
        <v>24</v>
      </c>
      <c r="G2" s="21" t="s">
        <v>25</v>
      </c>
      <c r="H2" s="21" t="s">
        <v>26</v>
      </c>
      <c r="I2" s="21" t="s">
        <v>27</v>
      </c>
      <c r="J2" s="21" t="s">
        <v>28</v>
      </c>
      <c r="K2" s="21" t="s">
        <v>29</v>
      </c>
      <c r="L2" s="21" t="s">
        <v>30</v>
      </c>
      <c r="M2" s="21" t="s">
        <v>31</v>
      </c>
    </row>
    <row r="3" customFormat="false" ht="60" hidden="false" customHeight="true" outlineLevel="0" collapsed="false">
      <c r="A3" s="22" t="n">
        <v>1</v>
      </c>
      <c r="B3" s="23" t="s">
        <v>32</v>
      </c>
      <c r="C3" s="24" t="s">
        <v>11</v>
      </c>
      <c r="D3" s="23" t="s">
        <v>33</v>
      </c>
      <c r="E3" s="25" t="s">
        <v>34</v>
      </c>
      <c r="F3" s="23" t="s">
        <v>35</v>
      </c>
      <c r="G3" s="23" t="s">
        <v>36</v>
      </c>
      <c r="H3" s="23" t="s">
        <v>37</v>
      </c>
      <c r="I3" s="23" t="s">
        <v>38</v>
      </c>
      <c r="J3" s="23" t="s">
        <v>3</v>
      </c>
      <c r="K3" s="23"/>
      <c r="L3" s="23"/>
      <c r="M3" s="23"/>
    </row>
    <row r="4" customFormat="false" ht="60" hidden="false" customHeight="true" outlineLevel="0" collapsed="false">
      <c r="A4" s="26" t="n">
        <v>2</v>
      </c>
      <c r="B4" s="27" t="s">
        <v>32</v>
      </c>
      <c r="C4" s="24" t="s">
        <v>11</v>
      </c>
      <c r="D4" s="27" t="s">
        <v>39</v>
      </c>
      <c r="E4" s="28" t="s">
        <v>40</v>
      </c>
      <c r="F4" s="27" t="s">
        <v>41</v>
      </c>
      <c r="G4" s="27" t="s">
        <v>42</v>
      </c>
      <c r="H4" s="27" t="s">
        <v>43</v>
      </c>
      <c r="I4" s="27" t="s">
        <v>44</v>
      </c>
      <c r="J4" s="27" t="s">
        <v>3</v>
      </c>
      <c r="K4" s="27"/>
      <c r="L4" s="27"/>
      <c r="M4" s="27"/>
    </row>
    <row r="5" customFormat="false" ht="60" hidden="false" customHeight="true" outlineLevel="0" collapsed="false">
      <c r="A5" s="22" t="n">
        <v>3</v>
      </c>
      <c r="B5" s="23" t="s">
        <v>32</v>
      </c>
      <c r="C5" s="24" t="s">
        <v>11</v>
      </c>
      <c r="D5" s="23" t="s">
        <v>45</v>
      </c>
      <c r="E5" s="25" t="s">
        <v>34</v>
      </c>
      <c r="F5" s="23" t="s">
        <v>46</v>
      </c>
      <c r="G5" s="23" t="s">
        <v>47</v>
      </c>
      <c r="H5" s="23" t="s">
        <v>48</v>
      </c>
      <c r="I5" s="23" t="s">
        <v>49</v>
      </c>
      <c r="J5" s="23" t="s">
        <v>3</v>
      </c>
      <c r="K5" s="23"/>
      <c r="L5" s="23"/>
      <c r="M5" s="23"/>
    </row>
    <row r="6" customFormat="false" ht="60" hidden="false" customHeight="true" outlineLevel="0" collapsed="false">
      <c r="A6" s="26" t="n">
        <v>4</v>
      </c>
      <c r="B6" s="27" t="s">
        <v>32</v>
      </c>
      <c r="C6" s="24" t="s">
        <v>11</v>
      </c>
      <c r="D6" s="27" t="s">
        <v>50</v>
      </c>
      <c r="E6" s="25" t="s">
        <v>34</v>
      </c>
      <c r="F6" s="27" t="s">
        <v>51</v>
      </c>
      <c r="G6" s="27" t="s">
        <v>52</v>
      </c>
      <c r="H6" s="27" t="s">
        <v>53</v>
      </c>
      <c r="I6" s="27" t="s">
        <v>54</v>
      </c>
      <c r="J6" s="27" t="s">
        <v>3</v>
      </c>
      <c r="K6" s="27"/>
      <c r="L6" s="27"/>
      <c r="M6" s="27"/>
    </row>
    <row r="7" customFormat="false" ht="60" hidden="false" customHeight="true" outlineLevel="0" collapsed="false">
      <c r="A7" s="22" t="n">
        <v>5</v>
      </c>
      <c r="B7" s="23" t="s">
        <v>32</v>
      </c>
      <c r="C7" s="24" t="s">
        <v>11</v>
      </c>
      <c r="D7" s="23" t="s">
        <v>55</v>
      </c>
      <c r="E7" s="29" t="s">
        <v>56</v>
      </c>
      <c r="F7" s="23" t="s">
        <v>57</v>
      </c>
      <c r="G7" s="23" t="s">
        <v>58</v>
      </c>
      <c r="H7" s="23" t="s">
        <v>59</v>
      </c>
      <c r="I7" s="23" t="s">
        <v>60</v>
      </c>
      <c r="J7" s="23" t="s">
        <v>3</v>
      </c>
      <c r="K7" s="23"/>
      <c r="L7" s="23"/>
      <c r="M7" s="23"/>
    </row>
    <row r="8" customFormat="false" ht="60" hidden="false" customHeight="true" outlineLevel="0" collapsed="false">
      <c r="A8" s="26" t="n">
        <v>6</v>
      </c>
      <c r="B8" s="27" t="s">
        <v>32</v>
      </c>
      <c r="C8" s="24" t="s">
        <v>11</v>
      </c>
      <c r="D8" s="27" t="s">
        <v>61</v>
      </c>
      <c r="E8" s="29" t="s">
        <v>56</v>
      </c>
      <c r="F8" s="27" t="s">
        <v>62</v>
      </c>
      <c r="G8" s="27" t="s">
        <v>63</v>
      </c>
      <c r="H8" s="27" t="s">
        <v>64</v>
      </c>
      <c r="I8" s="27" t="s">
        <v>65</v>
      </c>
      <c r="J8" s="27" t="s">
        <v>3</v>
      </c>
      <c r="K8" s="27"/>
      <c r="L8" s="27"/>
      <c r="M8" s="27"/>
    </row>
    <row r="9" customFormat="false" ht="60" hidden="false" customHeight="true" outlineLevel="0" collapsed="false">
      <c r="A9" s="22" t="n">
        <v>7</v>
      </c>
      <c r="B9" s="23" t="s">
        <v>32</v>
      </c>
      <c r="C9" s="24" t="s">
        <v>11</v>
      </c>
      <c r="D9" s="23" t="s">
        <v>66</v>
      </c>
      <c r="E9" s="28" t="s">
        <v>40</v>
      </c>
      <c r="F9" s="23" t="s">
        <v>67</v>
      </c>
      <c r="G9" s="23" t="s">
        <v>68</v>
      </c>
      <c r="H9" s="23" t="s">
        <v>69</v>
      </c>
      <c r="I9" s="23" t="s">
        <v>70</v>
      </c>
      <c r="J9" s="23" t="s">
        <v>3</v>
      </c>
      <c r="K9" s="23"/>
      <c r="L9" s="23"/>
      <c r="M9" s="23"/>
    </row>
    <row r="10" customFormat="false" ht="60" hidden="false" customHeight="true" outlineLevel="0" collapsed="false">
      <c r="A10" s="26" t="n">
        <v>8</v>
      </c>
      <c r="B10" s="27" t="s">
        <v>71</v>
      </c>
      <c r="C10" s="30" t="s">
        <v>12</v>
      </c>
      <c r="D10" s="27" t="s">
        <v>72</v>
      </c>
      <c r="E10" s="28" t="s">
        <v>40</v>
      </c>
      <c r="F10" s="27" t="s">
        <v>73</v>
      </c>
      <c r="G10" s="27" t="s">
        <v>74</v>
      </c>
      <c r="H10" s="27" t="s">
        <v>75</v>
      </c>
      <c r="I10" s="27" t="s">
        <v>76</v>
      </c>
      <c r="J10" s="27" t="s">
        <v>3</v>
      </c>
      <c r="K10" s="27"/>
      <c r="L10" s="27"/>
      <c r="M10" s="27"/>
    </row>
    <row r="11" customFormat="false" ht="60" hidden="false" customHeight="true" outlineLevel="0" collapsed="false">
      <c r="A11" s="22" t="n">
        <v>9</v>
      </c>
      <c r="B11" s="23" t="s">
        <v>71</v>
      </c>
      <c r="C11" s="30" t="s">
        <v>12</v>
      </c>
      <c r="D11" s="23" t="s">
        <v>77</v>
      </c>
      <c r="E11" s="28" t="s">
        <v>40</v>
      </c>
      <c r="F11" s="23" t="s">
        <v>78</v>
      </c>
      <c r="G11" s="23" t="s">
        <v>79</v>
      </c>
      <c r="H11" s="23" t="s">
        <v>80</v>
      </c>
      <c r="I11" s="23" t="s">
        <v>81</v>
      </c>
      <c r="J11" s="23" t="s">
        <v>3</v>
      </c>
      <c r="K11" s="23"/>
      <c r="L11" s="23"/>
      <c r="M11" s="23"/>
    </row>
    <row r="12" customFormat="false" ht="60" hidden="false" customHeight="true" outlineLevel="0" collapsed="false">
      <c r="A12" s="26" t="n">
        <v>10</v>
      </c>
      <c r="B12" s="27" t="s">
        <v>71</v>
      </c>
      <c r="C12" s="30" t="s">
        <v>12</v>
      </c>
      <c r="D12" s="27" t="s">
        <v>82</v>
      </c>
      <c r="E12" s="29" t="s">
        <v>56</v>
      </c>
      <c r="F12" s="27" t="s">
        <v>83</v>
      </c>
      <c r="G12" s="27" t="s">
        <v>84</v>
      </c>
      <c r="H12" s="27" t="s">
        <v>85</v>
      </c>
      <c r="I12" s="27" t="s">
        <v>86</v>
      </c>
      <c r="J12" s="27" t="s">
        <v>3</v>
      </c>
      <c r="K12" s="27"/>
      <c r="L12" s="27"/>
      <c r="M12" s="27"/>
    </row>
    <row r="13" customFormat="false" ht="60" hidden="false" customHeight="true" outlineLevel="0" collapsed="false">
      <c r="A13" s="22" t="n">
        <v>11</v>
      </c>
      <c r="B13" s="23" t="s">
        <v>71</v>
      </c>
      <c r="C13" s="30" t="s">
        <v>12</v>
      </c>
      <c r="D13" s="23" t="s">
        <v>87</v>
      </c>
      <c r="E13" s="28" t="s">
        <v>40</v>
      </c>
      <c r="F13" s="23" t="s">
        <v>88</v>
      </c>
      <c r="G13" s="23" t="s">
        <v>89</v>
      </c>
      <c r="H13" s="23" t="s">
        <v>90</v>
      </c>
      <c r="I13" s="23" t="s">
        <v>91</v>
      </c>
      <c r="J13" s="23" t="s">
        <v>3</v>
      </c>
      <c r="K13" s="23"/>
      <c r="L13" s="23"/>
      <c r="M13" s="23"/>
    </row>
    <row r="14" customFormat="false" ht="60" hidden="false" customHeight="true" outlineLevel="0" collapsed="false">
      <c r="A14" s="26" t="n">
        <v>12</v>
      </c>
      <c r="B14" s="27" t="s">
        <v>71</v>
      </c>
      <c r="C14" s="30" t="s">
        <v>12</v>
      </c>
      <c r="D14" s="27" t="s">
        <v>92</v>
      </c>
      <c r="E14" s="25" t="s">
        <v>34</v>
      </c>
      <c r="F14" s="27" t="s">
        <v>93</v>
      </c>
      <c r="G14" s="27" t="s">
        <v>94</v>
      </c>
      <c r="H14" s="27" t="s">
        <v>95</v>
      </c>
      <c r="I14" s="27" t="s">
        <v>96</v>
      </c>
      <c r="J14" s="27" t="s">
        <v>3</v>
      </c>
      <c r="K14" s="27"/>
      <c r="L14" s="27"/>
      <c r="M14" s="27"/>
    </row>
    <row r="15" customFormat="false" ht="60" hidden="false" customHeight="true" outlineLevel="0" collapsed="false">
      <c r="A15" s="22" t="n">
        <v>13</v>
      </c>
      <c r="B15" s="23" t="s">
        <v>71</v>
      </c>
      <c r="C15" s="30" t="s">
        <v>12</v>
      </c>
      <c r="D15" s="23" t="s">
        <v>97</v>
      </c>
      <c r="E15" s="29" t="s">
        <v>56</v>
      </c>
      <c r="F15" s="23" t="s">
        <v>98</v>
      </c>
      <c r="G15" s="23" t="s">
        <v>99</v>
      </c>
      <c r="H15" s="23" t="s">
        <v>100</v>
      </c>
      <c r="I15" s="23" t="s">
        <v>101</v>
      </c>
      <c r="J15" s="23" t="s">
        <v>3</v>
      </c>
      <c r="K15" s="23"/>
      <c r="L15" s="23"/>
      <c r="M15" s="23"/>
    </row>
    <row r="16" customFormat="false" ht="60" hidden="false" customHeight="true" outlineLevel="0" collapsed="false">
      <c r="A16" s="26" t="n">
        <v>14</v>
      </c>
      <c r="B16" s="27" t="s">
        <v>71</v>
      </c>
      <c r="C16" s="31" t="s">
        <v>13</v>
      </c>
      <c r="D16" s="27" t="s">
        <v>102</v>
      </c>
      <c r="E16" s="28" t="s">
        <v>40</v>
      </c>
      <c r="F16" s="27" t="s">
        <v>103</v>
      </c>
      <c r="G16" s="27" t="s">
        <v>104</v>
      </c>
      <c r="H16" s="27" t="s">
        <v>105</v>
      </c>
      <c r="I16" s="27" t="s">
        <v>106</v>
      </c>
      <c r="J16" s="27" t="s">
        <v>3</v>
      </c>
      <c r="K16" s="27"/>
      <c r="L16" s="27"/>
      <c r="M16" s="27"/>
    </row>
    <row r="17" customFormat="false" ht="60" hidden="false" customHeight="true" outlineLevel="0" collapsed="false">
      <c r="A17" s="22" t="n">
        <v>15</v>
      </c>
      <c r="B17" s="23" t="s">
        <v>71</v>
      </c>
      <c r="C17" s="31" t="s">
        <v>13</v>
      </c>
      <c r="D17" s="23" t="s">
        <v>107</v>
      </c>
      <c r="E17" s="28" t="s">
        <v>40</v>
      </c>
      <c r="F17" s="23" t="s">
        <v>108</v>
      </c>
      <c r="G17" s="23" t="s">
        <v>109</v>
      </c>
      <c r="H17" s="23" t="s">
        <v>110</v>
      </c>
      <c r="I17" s="23" t="s">
        <v>111</v>
      </c>
      <c r="J17" s="23" t="s">
        <v>3</v>
      </c>
      <c r="K17" s="23"/>
      <c r="L17" s="23"/>
      <c r="M17" s="23"/>
    </row>
    <row r="18" customFormat="false" ht="60" hidden="false" customHeight="true" outlineLevel="0" collapsed="false">
      <c r="A18" s="26" t="n">
        <v>16</v>
      </c>
      <c r="B18" s="27" t="s">
        <v>71</v>
      </c>
      <c r="C18" s="31" t="s">
        <v>13</v>
      </c>
      <c r="D18" s="27" t="s">
        <v>112</v>
      </c>
      <c r="E18" s="28" t="s">
        <v>40</v>
      </c>
      <c r="F18" s="27" t="s">
        <v>113</v>
      </c>
      <c r="G18" s="27" t="s">
        <v>114</v>
      </c>
      <c r="H18" s="27" t="s">
        <v>105</v>
      </c>
      <c r="I18" s="27" t="s">
        <v>115</v>
      </c>
      <c r="J18" s="27" t="s">
        <v>3</v>
      </c>
      <c r="K18" s="27"/>
      <c r="L18" s="27"/>
      <c r="M18" s="27"/>
    </row>
    <row r="19" customFormat="false" ht="60" hidden="false" customHeight="true" outlineLevel="0" collapsed="false">
      <c r="A19" s="22" t="n">
        <v>17</v>
      </c>
      <c r="B19" s="23" t="s">
        <v>71</v>
      </c>
      <c r="C19" s="31" t="s">
        <v>13</v>
      </c>
      <c r="D19" s="23" t="s">
        <v>116</v>
      </c>
      <c r="E19" s="28" t="s">
        <v>40</v>
      </c>
      <c r="F19" s="23" t="s">
        <v>117</v>
      </c>
      <c r="G19" s="23" t="s">
        <v>118</v>
      </c>
      <c r="H19" s="23" t="s">
        <v>119</v>
      </c>
      <c r="I19" s="23" t="s">
        <v>120</v>
      </c>
      <c r="J19" s="23" t="s">
        <v>3</v>
      </c>
      <c r="K19" s="23"/>
      <c r="L19" s="23"/>
      <c r="M19" s="23"/>
    </row>
    <row r="20" customFormat="false" ht="60" hidden="false" customHeight="true" outlineLevel="0" collapsed="false">
      <c r="A20" s="26" t="n">
        <v>18</v>
      </c>
      <c r="B20" s="27" t="s">
        <v>71</v>
      </c>
      <c r="C20" s="30" t="s">
        <v>12</v>
      </c>
      <c r="D20" s="27" t="s">
        <v>121</v>
      </c>
      <c r="E20" s="28" t="s">
        <v>40</v>
      </c>
      <c r="F20" s="27" t="s">
        <v>122</v>
      </c>
      <c r="G20" s="27" t="s">
        <v>123</v>
      </c>
      <c r="H20" s="27" t="s">
        <v>124</v>
      </c>
      <c r="I20" s="27" t="s">
        <v>125</v>
      </c>
      <c r="J20" s="27" t="s">
        <v>3</v>
      </c>
      <c r="K20" s="27"/>
      <c r="L20" s="27"/>
      <c r="M20" s="27"/>
    </row>
    <row r="21" customFormat="false" ht="60" hidden="false" customHeight="true" outlineLevel="0" collapsed="false">
      <c r="A21" s="22" t="n">
        <v>19</v>
      </c>
      <c r="B21" s="23" t="s">
        <v>71</v>
      </c>
      <c r="C21" s="30" t="s">
        <v>12</v>
      </c>
      <c r="D21" s="23" t="s">
        <v>126</v>
      </c>
      <c r="E21" s="28" t="s">
        <v>40</v>
      </c>
      <c r="F21" s="23" t="s">
        <v>127</v>
      </c>
      <c r="G21" s="23" t="s">
        <v>128</v>
      </c>
      <c r="H21" s="23" t="s">
        <v>129</v>
      </c>
      <c r="I21" s="23" t="s">
        <v>130</v>
      </c>
      <c r="J21" s="23" t="s">
        <v>3</v>
      </c>
      <c r="K21" s="23"/>
      <c r="L21" s="23"/>
      <c r="M21" s="23"/>
    </row>
    <row r="22" customFormat="false" ht="60" hidden="false" customHeight="true" outlineLevel="0" collapsed="false">
      <c r="A22" s="26" t="n">
        <v>20</v>
      </c>
      <c r="B22" s="27" t="s">
        <v>71</v>
      </c>
      <c r="C22" s="30" t="s">
        <v>12</v>
      </c>
      <c r="D22" s="27" t="s">
        <v>131</v>
      </c>
      <c r="E22" s="28" t="s">
        <v>40</v>
      </c>
      <c r="F22" s="27" t="s">
        <v>132</v>
      </c>
      <c r="G22" s="27" t="s">
        <v>133</v>
      </c>
      <c r="H22" s="27" t="s">
        <v>134</v>
      </c>
      <c r="I22" s="27" t="s">
        <v>135</v>
      </c>
      <c r="J22" s="27" t="s">
        <v>3</v>
      </c>
      <c r="K22" s="27"/>
      <c r="L22" s="27"/>
      <c r="M22" s="27"/>
    </row>
    <row r="23" customFormat="false" ht="60" hidden="false" customHeight="true" outlineLevel="0" collapsed="false">
      <c r="A23" s="22" t="n">
        <v>21</v>
      </c>
      <c r="B23" s="23" t="s">
        <v>71</v>
      </c>
      <c r="C23" s="31" t="s">
        <v>13</v>
      </c>
      <c r="D23" s="23" t="s">
        <v>136</v>
      </c>
      <c r="E23" s="25" t="s">
        <v>34</v>
      </c>
      <c r="F23" s="23" t="s">
        <v>137</v>
      </c>
      <c r="G23" s="23" t="s">
        <v>138</v>
      </c>
      <c r="H23" s="23" t="s">
        <v>139</v>
      </c>
      <c r="I23" s="23" t="s">
        <v>140</v>
      </c>
      <c r="J23" s="23" t="s">
        <v>3</v>
      </c>
      <c r="K23" s="23"/>
      <c r="L23" s="23"/>
      <c r="M23" s="23"/>
    </row>
    <row r="24" customFormat="false" ht="60" hidden="false" customHeight="true" outlineLevel="0" collapsed="false">
      <c r="A24" s="26" t="n">
        <v>22</v>
      </c>
      <c r="B24" s="27" t="s">
        <v>71</v>
      </c>
      <c r="C24" s="31" t="s">
        <v>13</v>
      </c>
      <c r="D24" s="27" t="s">
        <v>141</v>
      </c>
      <c r="E24" s="28" t="s">
        <v>40</v>
      </c>
      <c r="F24" s="27" t="s">
        <v>142</v>
      </c>
      <c r="G24" s="27" t="s">
        <v>143</v>
      </c>
      <c r="H24" s="27" t="s">
        <v>105</v>
      </c>
      <c r="I24" s="27" t="s">
        <v>144</v>
      </c>
      <c r="J24" s="27" t="s">
        <v>3</v>
      </c>
      <c r="K24" s="27"/>
      <c r="L24" s="27"/>
      <c r="M24" s="27"/>
    </row>
    <row r="25" customFormat="false" ht="60" hidden="false" customHeight="true" outlineLevel="0" collapsed="false">
      <c r="A25" s="22" t="n">
        <v>23</v>
      </c>
      <c r="B25" s="23" t="s">
        <v>71</v>
      </c>
      <c r="C25" s="31" t="s">
        <v>13</v>
      </c>
      <c r="D25" s="23" t="s">
        <v>145</v>
      </c>
      <c r="E25" s="29" t="s">
        <v>56</v>
      </c>
      <c r="F25" s="23" t="s">
        <v>146</v>
      </c>
      <c r="G25" s="23" t="s">
        <v>147</v>
      </c>
      <c r="H25" s="23" t="s">
        <v>148</v>
      </c>
      <c r="I25" s="23" t="s">
        <v>149</v>
      </c>
      <c r="J25" s="23" t="s">
        <v>3</v>
      </c>
      <c r="K25" s="23"/>
      <c r="L25" s="23"/>
      <c r="M25" s="23"/>
    </row>
    <row r="26" customFormat="false" ht="60" hidden="false" customHeight="true" outlineLevel="0" collapsed="false">
      <c r="A26" s="26" t="n">
        <v>24</v>
      </c>
      <c r="B26" s="27" t="s">
        <v>71</v>
      </c>
      <c r="C26" s="31" t="s">
        <v>13</v>
      </c>
      <c r="D26" s="27" t="s">
        <v>150</v>
      </c>
      <c r="E26" s="28" t="s">
        <v>40</v>
      </c>
      <c r="F26" s="27" t="s">
        <v>151</v>
      </c>
      <c r="G26" s="27" t="s">
        <v>152</v>
      </c>
      <c r="H26" s="27" t="s">
        <v>105</v>
      </c>
      <c r="I26" s="27" t="s">
        <v>153</v>
      </c>
      <c r="J26" s="27" t="s">
        <v>3</v>
      </c>
      <c r="K26" s="27"/>
      <c r="L26" s="27"/>
      <c r="M26" s="27"/>
    </row>
    <row r="27" customFormat="false" ht="60" hidden="false" customHeight="true" outlineLevel="0" collapsed="false">
      <c r="A27" s="22" t="n">
        <v>25</v>
      </c>
      <c r="B27" s="23" t="s">
        <v>71</v>
      </c>
      <c r="C27" s="31" t="s">
        <v>13</v>
      </c>
      <c r="D27" s="23" t="s">
        <v>154</v>
      </c>
      <c r="E27" s="28" t="s">
        <v>40</v>
      </c>
      <c r="F27" s="23" t="s">
        <v>155</v>
      </c>
      <c r="G27" s="23" t="s">
        <v>156</v>
      </c>
      <c r="H27" s="23" t="s">
        <v>157</v>
      </c>
      <c r="I27" s="23" t="s">
        <v>158</v>
      </c>
      <c r="J27" s="23" t="s">
        <v>3</v>
      </c>
      <c r="K27" s="23"/>
      <c r="L27" s="23"/>
      <c r="M27" s="23"/>
    </row>
    <row r="28" customFormat="false" ht="60" hidden="false" customHeight="true" outlineLevel="0" collapsed="false">
      <c r="A28" s="26" t="n">
        <v>26</v>
      </c>
      <c r="B28" s="27" t="s">
        <v>71</v>
      </c>
      <c r="C28" s="31" t="s">
        <v>13</v>
      </c>
      <c r="D28" s="27" t="s">
        <v>159</v>
      </c>
      <c r="E28" s="28" t="s">
        <v>40</v>
      </c>
      <c r="F28" s="27" t="s">
        <v>160</v>
      </c>
      <c r="G28" s="27" t="s">
        <v>161</v>
      </c>
      <c r="H28" s="27" t="s">
        <v>105</v>
      </c>
      <c r="I28" s="27" t="s">
        <v>162</v>
      </c>
      <c r="J28" s="27" t="s">
        <v>3</v>
      </c>
      <c r="K28" s="27"/>
      <c r="L28" s="27"/>
      <c r="M28" s="27"/>
    </row>
    <row r="29" customFormat="false" ht="60" hidden="false" customHeight="true" outlineLevel="0" collapsed="false">
      <c r="A29" s="22" t="n">
        <v>27</v>
      </c>
      <c r="B29" s="23" t="s">
        <v>71</v>
      </c>
      <c r="C29" s="31" t="s">
        <v>13</v>
      </c>
      <c r="D29" s="23" t="s">
        <v>163</v>
      </c>
      <c r="E29" s="28" t="s">
        <v>40</v>
      </c>
      <c r="F29" s="23" t="s">
        <v>164</v>
      </c>
      <c r="G29" s="23" t="s">
        <v>165</v>
      </c>
      <c r="H29" s="23" t="s">
        <v>105</v>
      </c>
      <c r="I29" s="23" t="s">
        <v>166</v>
      </c>
      <c r="J29" s="23" t="s">
        <v>3</v>
      </c>
      <c r="K29" s="23"/>
      <c r="L29" s="23"/>
      <c r="M29" s="23"/>
    </row>
    <row r="30" customFormat="false" ht="60" hidden="false" customHeight="true" outlineLevel="0" collapsed="false">
      <c r="A30" s="26" t="n">
        <v>28</v>
      </c>
      <c r="B30" s="27" t="s">
        <v>71</v>
      </c>
      <c r="C30" s="31" t="s">
        <v>13</v>
      </c>
      <c r="D30" s="27" t="s">
        <v>167</v>
      </c>
      <c r="E30" s="28" t="s">
        <v>40</v>
      </c>
      <c r="F30" s="27" t="s">
        <v>168</v>
      </c>
      <c r="G30" s="27" t="s">
        <v>169</v>
      </c>
      <c r="H30" s="27" t="s">
        <v>170</v>
      </c>
      <c r="I30" s="27" t="s">
        <v>171</v>
      </c>
      <c r="J30" s="27" t="s">
        <v>3</v>
      </c>
      <c r="K30" s="27"/>
      <c r="L30" s="27"/>
      <c r="M30" s="27"/>
    </row>
    <row r="31" customFormat="false" ht="60" hidden="false" customHeight="true" outlineLevel="0" collapsed="false">
      <c r="A31" s="22" t="n">
        <v>29</v>
      </c>
      <c r="B31" s="23" t="s">
        <v>71</v>
      </c>
      <c r="C31" s="31" t="s">
        <v>13</v>
      </c>
      <c r="D31" s="23" t="s">
        <v>172</v>
      </c>
      <c r="E31" s="25" t="s">
        <v>34</v>
      </c>
      <c r="F31" s="23" t="s">
        <v>173</v>
      </c>
      <c r="G31" s="23" t="s">
        <v>174</v>
      </c>
      <c r="H31" s="23" t="s">
        <v>175</v>
      </c>
      <c r="I31" s="23" t="s">
        <v>176</v>
      </c>
      <c r="J31" s="23" t="s">
        <v>3</v>
      </c>
      <c r="K31" s="23"/>
      <c r="L31" s="23"/>
      <c r="M31" s="23"/>
    </row>
    <row r="32" customFormat="false" ht="60" hidden="false" customHeight="true" outlineLevel="0" collapsed="false">
      <c r="A32" s="26" t="n">
        <v>30</v>
      </c>
      <c r="B32" s="27" t="s">
        <v>71</v>
      </c>
      <c r="C32" s="31" t="s">
        <v>13</v>
      </c>
      <c r="D32" s="27" t="s">
        <v>177</v>
      </c>
      <c r="E32" s="28" t="s">
        <v>40</v>
      </c>
      <c r="F32" s="27" t="s">
        <v>178</v>
      </c>
      <c r="G32" s="27" t="s">
        <v>179</v>
      </c>
      <c r="H32" s="27" t="s">
        <v>105</v>
      </c>
      <c r="I32" s="27" t="s">
        <v>180</v>
      </c>
      <c r="J32" s="27" t="s">
        <v>3</v>
      </c>
      <c r="K32" s="27"/>
      <c r="L32" s="27"/>
      <c r="M32" s="27"/>
    </row>
    <row r="33" customFormat="false" ht="60" hidden="false" customHeight="true" outlineLevel="0" collapsed="false">
      <c r="A33" s="22" t="n">
        <v>31</v>
      </c>
      <c r="B33" s="23" t="s">
        <v>71</v>
      </c>
      <c r="C33" s="31" t="s">
        <v>13</v>
      </c>
      <c r="D33" s="23" t="s">
        <v>181</v>
      </c>
      <c r="E33" s="25" t="s">
        <v>34</v>
      </c>
      <c r="F33" s="23" t="s">
        <v>182</v>
      </c>
      <c r="G33" s="23" t="s">
        <v>183</v>
      </c>
      <c r="H33" s="23" t="s">
        <v>184</v>
      </c>
      <c r="I33" s="23" t="s">
        <v>185</v>
      </c>
      <c r="J33" s="23" t="s">
        <v>3</v>
      </c>
      <c r="K33" s="23"/>
      <c r="L33" s="23"/>
      <c r="M33" s="23"/>
    </row>
    <row r="34" customFormat="false" ht="60" hidden="false" customHeight="true" outlineLevel="0" collapsed="false">
      <c r="A34" s="26" t="n">
        <v>32</v>
      </c>
      <c r="B34" s="27" t="s">
        <v>71</v>
      </c>
      <c r="C34" s="31" t="s">
        <v>13</v>
      </c>
      <c r="D34" s="27" t="s">
        <v>186</v>
      </c>
      <c r="E34" s="28" t="s">
        <v>40</v>
      </c>
      <c r="F34" s="27" t="s">
        <v>187</v>
      </c>
      <c r="G34" s="27" t="s">
        <v>188</v>
      </c>
      <c r="H34" s="27" t="s">
        <v>189</v>
      </c>
      <c r="I34" s="27" t="s">
        <v>190</v>
      </c>
      <c r="J34" s="27" t="s">
        <v>3</v>
      </c>
      <c r="K34" s="27"/>
      <c r="L34" s="27"/>
      <c r="M34" s="27"/>
    </row>
  </sheetData>
  <mergeCells count="1">
    <mergeCell ref="A1:M1"/>
  </mergeCells>
  <conditionalFormatting sqref="A3:M34">
    <cfRule type="expression" priority="2" aboveAverage="0" equalAverage="0" bottom="0" percent="0" rank="0" text="" dxfId="0">
      <formula>$J3="Verified"</formula>
    </cfRule>
    <cfRule type="expression" priority="3" aboveAverage="0" equalAverage="0" bottom="0" percent="0" rank="0" text="" dxfId="1">
      <formula>$J3="In Progress"</formula>
    </cfRule>
    <cfRule type="expression" priority="4" aboveAverage="0" equalAverage="0" bottom="0" percent="0" rank="0" text="" dxfId="2">
      <formula>$J3="Drift Detected"</formula>
    </cfRule>
    <cfRule type="expression" priority="5" aboveAverage="0" equalAverage="0" bottom="0" percent="0" rank="0" text="" dxfId="3">
      <formula>$J3="N/A"</formula>
    </cfRule>
  </conditionalFormatting>
  <dataValidations count="1">
    <dataValidation allowBlank="true" errorStyle="stop" operator="between" showDropDown="false" showErrorMessage="false" showInputMessage="false" sqref="J3:J34" type="list">
      <formula1>"Not Verified,In Progress,Verified,Drift Detected,N/A"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0"/>
    <col collapsed="false" customWidth="true" hidden="false" outlineLevel="0" max="4" min="4" style="0" width="40"/>
    <col collapsed="false" customWidth="true" hidden="false" outlineLevel="0" max="5" min="5" style="0" width="14"/>
    <col collapsed="false" customWidth="true" hidden="false" outlineLevel="0" max="6" min="6" style="0" width="44"/>
    <col collapsed="false" customWidth="true" hidden="false" outlineLevel="0" max="7" min="7" style="0" width="16"/>
  </cols>
  <sheetData>
    <row r="1" customFormat="false" ht="24" hidden="false" customHeight="true" outlineLevel="0" collapsed="false">
      <c r="A1" s="32" t="s">
        <v>191</v>
      </c>
      <c r="B1" s="32"/>
      <c r="C1" s="32"/>
      <c r="D1" s="32"/>
      <c r="E1" s="32"/>
      <c r="F1" s="32"/>
      <c r="G1" s="32"/>
    </row>
    <row r="2" customFormat="false" ht="19.5" hidden="false" customHeight="true" outlineLevel="0" collapsed="false">
      <c r="A2" s="33" t="s">
        <v>20</v>
      </c>
      <c r="B2" s="33" t="s">
        <v>21</v>
      </c>
      <c r="C2" s="33" t="s">
        <v>8</v>
      </c>
      <c r="D2" s="33" t="s">
        <v>22</v>
      </c>
      <c r="E2" s="33" t="s">
        <v>23</v>
      </c>
      <c r="F2" s="33" t="s">
        <v>192</v>
      </c>
      <c r="G2" s="33" t="s">
        <v>193</v>
      </c>
    </row>
    <row r="3" customFormat="false" ht="18" hidden="false" customHeight="true" outlineLevel="0" collapsed="false">
      <c r="A3" s="34"/>
      <c r="B3" s="34"/>
      <c r="C3" s="34"/>
      <c r="D3" s="34"/>
      <c r="E3" s="34"/>
      <c r="F3" s="34"/>
      <c r="G3" s="34"/>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78"/>
    <col collapsed="false" customWidth="true" hidden="false" outlineLevel="0" max="4" min="4" style="0" width="3"/>
  </cols>
  <sheetData>
    <row r="1" customFormat="false" ht="27.75" hidden="false" customHeight="true" outlineLevel="0" collapsed="false">
      <c r="B1" s="35" t="s">
        <v>194</v>
      </c>
      <c r="C1" s="35"/>
    </row>
    <row r="2" customFormat="false" ht="19.5" hidden="false" customHeight="true" outlineLevel="0" collapsed="false">
      <c r="B2" s="36" t="s">
        <v>195</v>
      </c>
      <c r="C2" s="36"/>
    </row>
    <row r="3" customFormat="false" ht="55.5" hidden="false" customHeight="true" outlineLevel="0" collapsed="false">
      <c r="B3" s="37" t="s">
        <v>196</v>
      </c>
      <c r="C3" s="38" t="s">
        <v>197</v>
      </c>
    </row>
    <row r="4" customFormat="false" ht="55.5" hidden="false" customHeight="true" outlineLevel="0" collapsed="false">
      <c r="B4" s="37" t="s">
        <v>198</v>
      </c>
      <c r="C4" s="38" t="s">
        <v>199</v>
      </c>
    </row>
    <row r="5" customFormat="false" ht="55.5" hidden="false" customHeight="true" outlineLevel="0" collapsed="false">
      <c r="B5" s="37" t="s">
        <v>200</v>
      </c>
      <c r="C5" s="38" t="s">
        <v>201</v>
      </c>
    </row>
    <row r="6" customFormat="false" ht="7.5" hidden="false" customHeight="true" outlineLevel="0" collapsed="false"/>
    <row r="7" customFormat="false" ht="19.5" hidden="false" customHeight="true" outlineLevel="0" collapsed="false">
      <c r="B7" s="6" t="s">
        <v>202</v>
      </c>
      <c r="C7" s="6"/>
    </row>
    <row r="8" customFormat="false" ht="42" hidden="false" customHeight="true" outlineLevel="0" collapsed="false">
      <c r="B8" s="37" t="s">
        <v>203</v>
      </c>
      <c r="C8" s="38" t="s">
        <v>204</v>
      </c>
    </row>
    <row r="9" customFormat="false" ht="31.5" hidden="false" customHeight="true" outlineLevel="0" collapsed="false">
      <c r="B9" s="37" t="s">
        <v>205</v>
      </c>
      <c r="C9" s="38" t="s">
        <v>206</v>
      </c>
    </row>
    <row r="10" customFormat="false" ht="31.5" hidden="false" customHeight="true" outlineLevel="0" collapsed="false">
      <c r="B10" s="37" t="s">
        <v>207</v>
      </c>
      <c r="C10" s="38" t="s">
        <v>208</v>
      </c>
    </row>
    <row r="11" customFormat="false" ht="42" hidden="false" customHeight="true" outlineLevel="0" collapsed="false">
      <c r="B11" s="37" t="s">
        <v>209</v>
      </c>
      <c r="C11" s="38" t="s">
        <v>210</v>
      </c>
    </row>
    <row r="12" customFormat="false" ht="31.5" hidden="false" customHeight="true" outlineLevel="0" collapsed="false">
      <c r="B12" s="37" t="s">
        <v>211</v>
      </c>
      <c r="C12" s="38" t="s">
        <v>212</v>
      </c>
    </row>
    <row r="13" customFormat="false" ht="7.5" hidden="false" customHeight="true" outlineLevel="0" collapsed="false"/>
    <row r="14" customFormat="false" ht="19.5" hidden="false" customHeight="true" outlineLevel="0" collapsed="false">
      <c r="B14" s="6" t="s">
        <v>213</v>
      </c>
      <c r="C14" s="6"/>
    </row>
    <row r="15" customFormat="false" ht="31.5" hidden="false" customHeight="true" outlineLevel="0" collapsed="false">
      <c r="B15" s="37" t="s">
        <v>214</v>
      </c>
      <c r="C15" s="38" t="s">
        <v>215</v>
      </c>
    </row>
    <row r="16" customFormat="false" ht="55.5" hidden="false" customHeight="true" outlineLevel="0" collapsed="false">
      <c r="B16" s="37" t="s">
        <v>216</v>
      </c>
      <c r="C16" s="38" t="s">
        <v>217</v>
      </c>
    </row>
    <row r="17" customFormat="false" ht="31.5" hidden="false" customHeight="true" outlineLevel="0" collapsed="false">
      <c r="B17" s="37" t="s">
        <v>218</v>
      </c>
      <c r="C17" s="38" t="s">
        <v>219</v>
      </c>
    </row>
    <row r="18" customFormat="false" ht="31.5" hidden="false" customHeight="true" outlineLevel="0" collapsed="false">
      <c r="B18" s="37" t="s">
        <v>220</v>
      </c>
      <c r="C18" s="38" t="s">
        <v>221</v>
      </c>
    </row>
    <row r="19" customFormat="false" ht="31.5" hidden="false" customHeight="true" outlineLevel="0" collapsed="false">
      <c r="B19" s="37" t="s">
        <v>222</v>
      </c>
      <c r="C19" s="38" t="s">
        <v>223</v>
      </c>
    </row>
    <row r="20" customFormat="false" ht="31.5" hidden="false" customHeight="true" outlineLevel="0" collapsed="false">
      <c r="B20" s="37" t="s">
        <v>224</v>
      </c>
      <c r="C20" s="38" t="s">
        <v>225</v>
      </c>
    </row>
  </sheetData>
  <mergeCells count="4">
    <mergeCell ref="B1:C1"/>
    <mergeCell ref="B2:C2"/>
    <mergeCell ref="B7:C7"/>
    <mergeCell ref="B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2026-07-03T01:39:24Z</dcterms:created>
  <dc:creator>openpyxl</dc:creator>
  <dc:description/>
  <dc:language>en-US</dc:language>
  <cp:lastModifiedBy/>
  <dcterms:modified xsi:type="dcterms:W3CDTF">2026-07-03T01:39:24Z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