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Baseline" sheetId="2" state="visible" r:id="rId4"/>
    <sheet name="🛒 Self-Service Products" sheetId="3" state="visible" r:id="rId5"/>
    <sheet name="🚫 Excluded Items" sheetId="4" state="visible" r:id="rId6"/>
    <sheet name="📖 How To Us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<sst xmlns="http://schemas.openxmlformats.org/spreadsheetml/2006/main" count="596" uniqueCount="276">
  <si>
    <t xml:space="preserve">Omni Strategic Technologies — Baseline 0 Verification Playbook</t>
  </si>
  <si>
    <t xml:space="preserve">Inforcer Baseline Documentation  |  Generated 2026-06-12  |  48 policies across 4 products  |  Sourced from Microsoft Learn</t>
  </si>
  <si>
    <t xml:space="preserve">Total Policies</t>
  </si>
  <si>
    <t xml:space="preserve">Not Verified</t>
  </si>
  <si>
    <t xml:space="preserve">In Progress</t>
  </si>
  <si>
    <t xml:space="preserve">Verified</t>
  </si>
  <si>
    <t xml:space="preserve">% Verified</t>
  </si>
  <si>
    <t xml:space="preserve">Progress by Product</t>
  </si>
  <si>
    <t xml:space="preserve">Product</t>
  </si>
  <si>
    <t xml:space="preserve">Total</t>
  </si>
  <si>
    <t xml:space="preserve">% Done</t>
  </si>
  <si>
    <t xml:space="preserve">Entra</t>
  </si>
  <si>
    <t xml:space="preserve">M365 Admin Center</t>
  </si>
  <si>
    <t xml:space="preserve">Purview</t>
  </si>
  <si>
    <t xml:space="preserve">SharePoint</t>
  </si>
  <si>
    <t xml:space="preserve">Impact &amp; Status Legend</t>
  </si>
  <si>
    <t xml:space="preserve">HIGH Impact</t>
  </si>
  <si>
    <t xml:space="preserve">MEDIUM Impact</t>
  </si>
  <si>
    <t xml:space="preserve">LOW Impact</t>
  </si>
  <si>
    <t xml:space="preserve">Drift Detected</t>
  </si>
  <si>
    <t xml:space="preserve">Omni Strategic Technologies — Inforcer Baseline 0 Configuration Snapshot  |  2026-06-12  |  Impact sourced from Microsoft Learn</t>
  </si>
  <si>
    <t xml:space="preserve">#</t>
  </si>
  <si>
    <t xml:space="preserve">Category</t>
  </si>
  <si>
    <t xml:space="preserve">Policy Name</t>
  </si>
  <si>
    <t xml:space="preserve">Impact</t>
  </si>
  <si>
    <t xml:space="preserve">What It Does</t>
  </si>
  <si>
    <t xml:space="preserve">Current Settings (Baseline 0)</t>
  </si>
  <si>
    <t xml:space="preserve">Portal Path</t>
  </si>
  <si>
    <t xml:space="preserve">Notes / Verification Tips</t>
  </si>
  <si>
    <t xml:space="preserve">Status</t>
  </si>
  <si>
    <t xml:space="preserve">Verified Date</t>
  </si>
  <si>
    <t xml:space="preserve">Tech</t>
  </si>
  <si>
    <t xml:space="preserve">Drift / Change Notes</t>
  </si>
  <si>
    <t xml:space="preserve">Authentication Methods</t>
  </si>
  <si>
    <t xml:space="preserve">System-preferred MFA</t>
  </si>
  <si>
    <t xml:space="preserve">MEDIUM</t>
  </si>
  <si>
    <t xml:space="preserve">Runs an MFA registration campaign that nudges users to set up Microsoft Authenticator during sign-in. Users who haven't registered Authenticator see a persistent prompt after each MFA event, with a configurable snooze period (currently 1 day). After the configured number of snoozes, registration becomes mandatory. Targets a scoped include/exclude group list.</t>
  </si>
  <si>
    <t xml:space="preserve">Registration Enforcement: enabled | Snooze Duration: 1 day | Exclude Targets: 1 | Include Targets: 1</t>
  </si>
  <si>
    <t xml:space="preserve">Entra ID &gt; Protection &gt; Authentication Methods &gt; Registration Campaign</t>
  </si>
  <si>
    <t xml:space="preserve">Users without Authenticator will see a daily sign-in interrupt until they register. Existing Authenticator users see number-matching prompts. Snooze can be indefinite or limited — verify the enforceRegistrationAfterAllowedSnoozes setting.</t>
  </si>
  <si>
    <t xml:space="preserve">Multifactor authentication</t>
  </si>
  <si>
    <t xml:space="preserve">HIGH</t>
  </si>
  <si>
    <t xml:space="preserve">Sets MFA as required at the tenant level for all users (MultiFactorAuthConfiguration = required). This is the tenant-wide foundational MFA enforcement policy — a baseline requirement that applies before any Conditional Access policy evaluation. Without this, users can sign in with only a password.</t>
  </si>
  <si>
    <t xml:space="preserve">Multi Factor Auth Configuration: required</t>
  </si>
  <si>
    <t xml:space="preserve">Entra ID &gt; Protection &gt; Authentication Methods &gt; Settings</t>
  </si>
  <si>
    <t xml:space="preserve">All users without a registered MFA method will be forced to enroll on next sign-in. Combined with Conditional Access MFA policies, this is the bedrock of the MFA rollout. Any user currently using password-only auth will be interrupted immediately.</t>
  </si>
  <si>
    <t xml:space="preserve">Password Protection</t>
  </si>
  <si>
    <t xml:space="preserve">LOW</t>
  </si>
  <si>
    <t xml:space="preserve">Enables Microsoft Entra Password Protection: a global banned password list (maintained by Microsoft based on spray attack data) plus a configurable custom banned list is checked on every password change or reset. Smart lockout is configured — account is locked for 60 seconds after 10 failed attempts. Inforcer metadata: Disable Delete = True, Disable Rename = True (this policy object is protected from modification).</t>
  </si>
  <si>
    <t xml:space="preserve">Disable Delete: True | Disable Deploy: False | Disable Rename: True</t>
  </si>
  <si>
    <t xml:space="preserve">Entra ID &gt; Protection &gt; Authentication Methods &gt; Password Protection</t>
  </si>
  <si>
    <t xml:space="preserve">Users won't notice unless they attempt to set a banned password — at which point the password is rejected. Users who enter wrong passwords 10+ times are locked out for 60 seconds. The Inforcer metadata flags mean this policy cannot be deleted or renamed through the baseline.</t>
  </si>
  <si>
    <t xml:space="preserve">Authentication Strengths</t>
  </si>
  <si>
    <t xml:space="preserve">Inforcer - Authentication</t>
  </si>
  <si>
    <t xml:space="preserve">Defines a custom Authentication Strength policy for the tenant that allows only strong or phishing-resistant MFA combinations: Windows Hello for Business, FIDO2 security keys, device-based push, Temporary Access Pass (one-time), Microsoft Authenticator push, software OATH tokens, and hardware OATH tokens. This strength definition is referenced by Conditional Access policies that require elevated assurance — particularly for admin access.</t>
  </si>
  <si>
    <t xml:space="preserve">Policy Type: custom | Requirements Satisfied: mfa | Allowed Combinations: WHfB, FIDO2, Device-based Push, TAP (one-time), MS Authenticator Push, Software OATH, Hardware OATH | Created: 4/29/2026</t>
  </si>
  <si>
    <t xml:space="preserve">Entra ID &gt; Protection &gt; Authentication Strengths</t>
  </si>
  <si>
    <t xml:space="preserve">No direct user impact from this definition alone — impact is delivered through the CA policies that reference it. Verify the CA policies (Core - Allow - MFA for Admins) are actively using this strength definition. Read Only: False — can be modified if needed.</t>
  </si>
  <si>
    <t xml:space="preserve">Device Settings</t>
  </si>
  <si>
    <t xml:space="preserve">Windows LAPS</t>
  </si>
  <si>
    <t xml:space="preserve">Enables Microsoft's Local Administrator Password Solution (LAPS) at the Entra tenant level (IsEnabled = True). This is the tenant-side prerequisite that allows Windows devices (Entra joined or Hybrid joined) to back up their local administrator passwords to Entra ID. Without this toggle enabled, Intune LAPS policies cannot function. Passwords are stored encrypted and accessible only to authorized roles (Cloud Device Admin, Intune Admin, Helpdesk Admin).</t>
  </si>
  <si>
    <t xml:space="preserve">Is Enabled: True</t>
  </si>
  <si>
    <t xml:space="preserve">Entra ID &gt; Devices &gt; Device Settings &gt; Enable Local Administrator Password Solution (LAPS)</t>
  </si>
  <si>
    <t xml:space="preserve">Invisible to end users — admin-only change. IT support staff retrieve local admin credentials from Entra ID rather than using a shared known password. Requires a companion Intune LAPS policy to actually configure the password rotation schedule and backup settings on each device.</t>
  </si>
  <si>
    <t xml:space="preserve">User registration allowed</t>
  </si>
  <si>
    <t xml:space="preserve">Controls whether standard users can register devices with Entra ID (UserAllowedToRegister setting). Currently using the default value — not explicitly overridden. By default, all users can register devices. This is a permissive setting that enables standard Autopilot and BYOD enrollment workflows.</t>
  </si>
  <si>
    <t xml:space="preserve">User Allowed To Register: (default — not explicitly set)</t>
  </si>
  <si>
    <t xml:space="preserve">Entra ID &gt; Devices &gt; Device Settings</t>
  </si>
  <si>
    <t xml:space="preserve">No restrictive impact — this is a permissive setting. If a stricter posture is required (e.g., only Intune-enrolled corporate devices), this should be explicitly set to restrict registration.</t>
  </si>
  <si>
    <t xml:space="preserve">Device limit per user</t>
  </si>
  <si>
    <t xml:space="preserve">Sets the maximum number of devices a single user can register in Entra ID to 10. This caps BYOD and personal device registration sprawl. The Inforcer Tier 1 baseline default is 20 — this tenant has it set to 10, which is more restrictive.</t>
  </si>
  <si>
    <t xml:space="preserve">User Device Quota: 10</t>
  </si>
  <si>
    <t xml:space="preserve">Entra ID &gt; Devices &gt; Device Settings &gt; Maximum number of devices per user</t>
  </si>
  <si>
    <t xml:space="preserve">No visible impact for the vast majority of users — only relevant for users who register large numbers of devices. Note: this tenant's setting (10) differs from the Inforcer Tier 1 default (20). Verify whether this is a deliberate customization.</t>
  </si>
  <si>
    <t xml:space="preserve">Enterprise Applications</t>
  </si>
  <si>
    <t xml:space="preserve">Admin consent requests</t>
  </si>
  <si>
    <t xml:space="preserve">Enables the admin consent workflow (IsEnabled = True). When a user attempts to grant permissions to a third-party app that requires admin consent, instead of being blocked entirely, they can submit an approval request. Configured with 3 designated reviewers, 30-day request expiry, email notifications enabled, and reminders enabled. Reviewers receive notifications and can approve or deny requests from the Entra admin center.</t>
  </si>
  <si>
    <t xml:space="preserve">Is Enabled: True | Notify Reviewers: True | Reminders Enabled: True | Request Duration: 30 days | Reviewers: 3 items</t>
  </si>
  <si>
    <t xml:space="preserve">Entra ID &gt; Enterprise Applications &gt; Consent and Permissions &gt; Admin Consent Settings</t>
  </si>
  <si>
    <t xml:space="preserve">Users attempting to grant broad third-party app permissions will see a workflow to submit a request rather than being blocked outright. Admins (reviewers) receive email notifications. Users experience a delay in app access pending review. Verify the 3 reviewers are current and actively monitoring requests.</t>
  </si>
  <si>
    <t xml:space="preserve">External Identities</t>
  </si>
  <si>
    <t xml:space="preserve">External user leave settings</t>
  </si>
  <si>
    <t xml:space="preserve">Allows external guest users to remove themselves from the tenant's Entra directory (AllowExternalIdentitiesToLeave = True). Guests can self-manage their presence without requiring admin action. This is a convenience and privacy setting — it does not affect internal users.</t>
  </si>
  <si>
    <t xml:space="preserve">Allow External Identities To Leave: True</t>
  </si>
  <si>
    <t xml:space="preserve">Entra ID &gt; External Identities &gt; External Collaboration Settings</t>
  </si>
  <si>
    <t xml:space="preserve">No visible change for internal users. External guests can remove themselves from the directory using the My Account portal. No security risk — a guest removing themselves simply revokes their own access.</t>
  </si>
  <si>
    <t xml:space="preserve">Guest user access restrictions</t>
  </si>
  <si>
    <t xml:space="preserve">Restricts who can invite guests to admins and users assigned the Guest Inviter role only (AllowInvitesFrom = adminsAndGuestInviters). Guest user permissions are set to the most restricted level (Role ID: 10dae51f-b6af-4016-8d66-8c2a99b929b3 = Restricted Guest User). Guests cannot enumerate directory contents, see other users, or browse groups — they can only see their own directory object.</t>
  </si>
  <si>
    <t xml:space="preserve">Guest User Role ID: 10dae51f-b6af-4016-8d66-8c2a99b929b3 (Restricted Guest) | Allow Invites From: adminsAndGuestInviters</t>
  </si>
  <si>
    <t xml:space="preserve">Regular users cannot invite external guests to Teams or SharePoint directly — invitations must go through IT or an admin. Existing guests have minimal directory visibility. Teams that frequently collaborate externally may need to submit requests for guest invitations.</t>
  </si>
  <si>
    <t xml:space="preserve">Password Reset</t>
  </si>
  <si>
    <t xml:space="preserve">Self-service password reset</t>
  </si>
  <si>
    <t xml:space="preserve">SSPR is currently DISABLED (IsEnabled = False) for this tenant. Self-service password reset allows users to reset their own passwords without calling the helpdesk, using registered authentication methods (Authenticator, email, phone). When disabled, all password resets must go through an admin or helpdesk. Note: this is distinct from SelfServicePassConfig (which disables external sign-up to the tenant) — this is the actual SSPR capability for existing users.</t>
  </si>
  <si>
    <t xml:space="preserve">Is Enabled: False</t>
  </si>
  <si>
    <t xml:space="preserve">Entra ID &gt; Protection &gt; Password Reset &gt; Properties</t>
  </si>
  <si>
    <t xml:space="preserve">⚠️ HIGH IMPACT: With SSPR disabled, users who are locked out or forget their password must contact IT/helpdesk. This creates ticket volume and delays. Microsoft recommends enabling SSPR alongside MFA enforcement. Verify whether disabling SSPR is intentional for this tenant — if MFA is required (it is), SSPR should be enabled as the secure self-recovery path.</t>
  </si>
  <si>
    <t xml:space="preserve">User Settings</t>
  </si>
  <si>
    <t xml:space="preserve">Default user role permissions</t>
  </si>
  <si>
    <t xml:space="preserve">Restricts default Entra ID user permissions to a least-privilege baseline: users cannot create app registrations (AllowedToCreateApps = False), cannot create security groups (AllowedToCreateSecurityGroups = False), cannot create new Entra tenants (AllowedToCreateTenants = False), and cannot read their own device's BitLocker recovery keys (AllowedToReadBitLockerKeysForOwnedDevice = False). Users can still read basic directory information for other users (AllowedToReadOtherUsers = True).</t>
  </si>
  <si>
    <t xml:space="preserve">Allowed To Create Apps: False | Allowed To Create Security Groups: False | Allowed To Create Tenants: False | Allowed To Read Bitlocker Keys For Owned Device: False | Allowed To Read Other Users: True</t>
  </si>
  <si>
    <t xml:space="preserve">Entra ID &gt; Users &gt; User Settings</t>
  </si>
  <si>
    <t xml:space="preserve">Power users who previously self-registered apps or created security groups without approval will find those options removed. Most standard users won't notice. If a user needs to register an app, they must be assigned the Application Developer role explicitly. BitLocker key self-service is disabled — users must contact helpdesk for key recovery.</t>
  </si>
  <si>
    <t xml:space="preserve">Access Control</t>
  </si>
  <si>
    <t xml:space="preserve">Idle session sign-out</t>
  </si>
  <si>
    <t xml:space="preserve">Automatically signs users out of SharePoint and OneDrive in a browser after 60 minutes of inactivity. A warning is displayed at 55 minutes (WarnAfterInSeconds = 3300). The policy is tenant-wide — it cannot be scoped to specific users or sites. Applies to browser-based access only (Outlook Web App, OneDrive, SharePoint, Microsoft 365 web apps). Users on managed devices using SSO or who selected 'Stay signed in' may not be affected.</t>
  </si>
  <si>
    <t xml:space="preserve">Is Enabled: True | Warn After: 3300 seconds (55 min) | Sign Out After: 3600 seconds (60 min)</t>
  </si>
  <si>
    <t xml:space="preserve">SharePoint Admin Center &gt; Policies &gt; Access Control &gt; Idle Session Sign-out</t>
  </si>
  <si>
    <t xml:space="preserve">Users working in SharePoint/OneDrive via a browser who step away for over an hour will be signed out and need to sign back in. This can cause loss of unsaved work in browser-based editing. Users on desktop Office apps (Word, Excel) are not affected. Note: this feature requires Entra ID P1/P2 for Conditional Access integration.</t>
  </si>
  <si>
    <t xml:space="preserve">OneDrive</t>
  </si>
  <si>
    <t xml:space="preserve">Deleted user data retention</t>
  </si>
  <si>
    <t xml:space="preserve">Configures how long a deleted user's OneDrive content is retained before permanent deletion. Set to 60 days (DeletedUserPersonalSiteRetentionPeriodInDays = 60). During this period, designated admins can access and transfer the content. After 60 days, the OneDrive is permanently deleted. This is critical for offboarding workflows.</t>
  </si>
  <si>
    <t xml:space="preserve">Deleted User Personal Site Retention Period In Days: 60</t>
  </si>
  <si>
    <t xml:space="preserve">SharePoint Admin Center &gt; Settings &gt; OneDrive &gt; Retention</t>
  </si>
  <si>
    <t xml:space="preserve">Invisible to current users — only relevant during offboarding. When an account is deleted, IT has a 60-day window to retrieve or reassign the user's OneDrive files before permanent deletion. Ensure offboarding runbooks account for this window.</t>
  </si>
  <si>
    <t xml:space="preserve">OneDrive retention</t>
  </si>
  <si>
    <t xml:space="preserve">Secondary OneDrive retention policy object — also configured at 60 days retention for deleted user personal sites. Appears as a separate Inforcer policy object from 'Deleted user data retention' but references the same underlying OneDrive retention setting (DeletedUserPersonalSiteRetentionPeriodInDays = 60).</t>
  </si>
  <si>
    <t xml:space="preserve">Same functional impact as 'Deleted user data retention' above. The two policies likely correspond to different API objects (OneDriveRetention vs SharePointDeletedUserDefaultRetention). Both confirm the 60-day window is correctly set.</t>
  </si>
  <si>
    <t xml:space="preserve">OneDrive storage quota</t>
  </si>
  <si>
    <t xml:space="preserve">Sets the default OneDrive storage quota for all users to 1TB (PersonalSiteDefaultStorageLimitInMB = 1,048,576 MB = 1024 GB). This is the standard allocation for Microsoft 365 Business Premium and E3/E5 tenants. Users approaching this limit will receive warnings from OneDrive.</t>
  </si>
  <si>
    <t xml:space="preserve">Personal Site Default Storage Limit In MB: 1,048,576 (= 1 TB)</t>
  </si>
  <si>
    <t xml:space="preserve">SharePoint Admin Center &gt; Settings &gt; OneDrive &gt; Storage</t>
  </si>
  <si>
    <t xml:space="preserve">No visible impact for most users — the 1TB limit is generous for typical business use. Only relevant if specific users have large data volumes (e.g., video files, large archives). Can be increased per-user if needed.</t>
  </si>
  <si>
    <t xml:space="preserve">Sync</t>
  </si>
  <si>
    <t xml:space="preserve">Mac OneDrive sync</t>
  </si>
  <si>
    <t xml:space="preserve">Enables the OneDrive sync client for macOS devices (IsMacSyncAppEnabled = True). Without this setting enabled, Mac users would be unable to sync OneDrive files to their local machine using the OneDrive desktop app. This is a permissive/enabling setting.</t>
  </si>
  <si>
    <t xml:space="preserve">Is Mac Sync App Enabled: True</t>
  </si>
  <si>
    <t xml:space="preserve">SharePoint Admin Center &gt; Settings &gt; OneDrive &gt; Sync</t>
  </si>
  <si>
    <t xml:space="preserve">No restrictive impact — Mac users can sync OneDrive normally. If the organization wanted to restrict OneDrive sync to managed/Intune-enrolled Macs only, that would require a separate Conditional Access policy targeting the OneDrive sync app.</t>
  </si>
  <si>
    <t xml:space="preserve">Sync file exclusions</t>
  </si>
  <si>
    <t xml:space="preserve">Configures whether specific file extensions are excluded from OneDrive sync. Currently no exclusions are configured (ExcludedFileExtensionsForSyncApp = empty). All file types sync normally to the OneDrive desktop client.</t>
  </si>
  <si>
    <t xml:space="preserve">Excluded File Extensions For Sync App: (none configured)</t>
  </si>
  <si>
    <t xml:space="preserve">All file types continue to sync normally. If security policy requires blocking sync of certain file types (e.g., .pst, .iso, .exe), this can be configured here. Current state: no restrictions in place.</t>
  </si>
  <si>
    <t xml:space="preserve">Org Settings</t>
  </si>
  <si>
    <t xml:space="preserve">Guest access</t>
  </si>
  <si>
    <t xml:space="preserve">Sets the directory-level guest user permissions to the most restricted level — guests can only see their own directory object (GuestUserRoleID = 10dae51f-b6af-4016-8d66-8c2a99b929b3). This controls what guest users can discover in the M365 Admin Center directory, aligning with the Entra External Identities guest restriction setting.</t>
  </si>
  <si>
    <t xml:space="preserve">Guest User Role ID: 10dae51f-b6af-4016-8d66-8c2a99b929b3 (Restricted Guest User)</t>
  </si>
  <si>
    <t xml:space="preserve">M365 Admin Center &gt; Settings &gt; Org Settings &gt; Microsoft 365 Groups</t>
  </si>
  <si>
    <t xml:space="preserve">External guests will have minimal visibility into the organisation's directory. No impact on internal users. Consistent with the Entra External Identities configuration.</t>
  </si>
  <si>
    <t xml:space="preserve">Self-Service Trials &amp; Purchases</t>
  </si>
  <si>
    <t xml:space="preserve">Dynamics 365 Marketing</t>
  </si>
  <si>
    <t xml:space="preserve">Disables self-service purchase and trial sign-up for this Microsoft product (AllowSelfServicePurchase = Disabled). Users cannot sign up for or purchase this product using their own payment method. Admins retain the ability to assign licenses through the M365 Admin Center.</t>
  </si>
  <si>
    <t xml:space="preserve">Policy Value: Disabled | Policy ID: AllowSelfServicePurchase | Product ID: CFQ7TTC0LH3N</t>
  </si>
  <si>
    <t xml:space="preserve">M365 Admin Center &gt; Settings &gt; Org Settings &gt; Services &gt; User-owned apps and services</t>
  </si>
  <si>
    <t xml:space="preserve">Dynamics 365 Marketing Additional Application</t>
  </si>
  <si>
    <t xml:space="preserve">Disables self-service purchase and trial sign-up for this Microsoft product (AllowSelfServicePurchase = Disabled).</t>
  </si>
  <si>
    <t xml:space="preserve">Policy Value: Disabled | Product ID: CFQ7TTC0LHVK</t>
  </si>
  <si>
    <t xml:space="preserve">Dynamics 365 Marketing Additional Non-Prod Application</t>
  </si>
  <si>
    <t xml:space="preserve">Policy Value: Disabled | Product ID: CFQ7TTC0LHWM</t>
  </si>
  <si>
    <t xml:space="preserve">Dynamics 365 Marketing Attach</t>
  </si>
  <si>
    <t xml:space="preserve">Policy Value: Disabled | Product ID: CFQ7TTC0LHWP</t>
  </si>
  <si>
    <t xml:space="preserve">Microsoft 365 Copilot</t>
  </si>
  <si>
    <t xml:space="preserve">Disables self-service purchase and trial sign-up for this Microsoft product (AllowSelfServicePurchase = Disabled). This is particularly important given Copilot's access to tenant data — preventing users from self-provisioning avoids uncontrolled data access expansion.</t>
  </si>
  <si>
    <t xml:space="preserve">Policy Value: Disabled | Product ID: CFQ7TTC0MM8R</t>
  </si>
  <si>
    <t xml:space="preserve">Microsoft 365 F3</t>
  </si>
  <si>
    <t xml:space="preserve">Policy Value: Disabled | Product ID: CFQ7TTC0LH05</t>
  </si>
  <si>
    <t xml:space="preserve">Microsoft ClipChamp</t>
  </si>
  <si>
    <t xml:space="preserve">Policy Value: Disabled | Product ID: CFQ7TTC0N8SS</t>
  </si>
  <si>
    <t xml:space="preserve">Microsoft Purview Discovery</t>
  </si>
  <si>
    <t xml:space="preserve">Policy Value: Disabled | Product ID: CFQ7TTC0N8SL</t>
  </si>
  <si>
    <t xml:space="preserve">Power Apps per user</t>
  </si>
  <si>
    <t xml:space="preserve">Policy Value: Disabled | Product ID: CFQ7TTC0LH2H</t>
  </si>
  <si>
    <t xml:space="preserve">Power Automate per user</t>
  </si>
  <si>
    <t xml:space="preserve">Policy Value: Disabled | Product ID: CFQ7TTC0LH3L</t>
  </si>
  <si>
    <t xml:space="preserve">Power Automate Per User with Attended RPA Plan</t>
  </si>
  <si>
    <t xml:space="preserve">Policy Value: Disabled | Product ID: CFQ7TTC0LSGZ</t>
  </si>
  <si>
    <t xml:space="preserve">Power Automate RPA</t>
  </si>
  <si>
    <t xml:space="preserve">Policy Value: Disabled | Product ID: CFQ7TTC0KXG6</t>
  </si>
  <si>
    <t xml:space="preserve">Power BI Premium per user</t>
  </si>
  <si>
    <t xml:space="preserve">Policy Value: Disabled | Product ID: CFQ7TTC0H6RP</t>
  </si>
  <si>
    <t xml:space="preserve">Power BI Pro</t>
  </si>
  <si>
    <t xml:space="preserve">Policy Value: Disabled | Product ID: CFQ7TTC0H9MP</t>
  </si>
  <si>
    <t xml:space="preserve">Project Plan 1</t>
  </si>
  <si>
    <t xml:space="preserve">Policy Value: Disabled | Product ID: CFQ7TTC0HDB1</t>
  </si>
  <si>
    <t xml:space="preserve">Project Plan 3</t>
  </si>
  <si>
    <t xml:space="preserve">Policy Value: Disabled | Product ID: CFQ7TTC0HDB0</t>
  </si>
  <si>
    <t xml:space="preserve">Python in Excel</t>
  </si>
  <si>
    <t xml:space="preserve">Policy Value: Disabled | Product ID: CFQ7TTC0S3X1</t>
  </si>
  <si>
    <t xml:space="preserve">Teams Essentials</t>
  </si>
  <si>
    <t xml:space="preserve">Policy Value: Disabled | Product ID: CFQ7TTC0JN4R</t>
  </si>
  <si>
    <t xml:space="preserve">Teams Exploratory</t>
  </si>
  <si>
    <t xml:space="preserve">Policy Value: Disabled | Product ID: CFQ7TTC0J1FV</t>
  </si>
  <si>
    <t xml:space="preserve">Teams Premium</t>
  </si>
  <si>
    <t xml:space="preserve">Policy Value: Disabled | Product ID: CFQ7TTC0RM8K</t>
  </si>
  <si>
    <t xml:space="preserve">Visio Plan 1</t>
  </si>
  <si>
    <t xml:space="preserve">Policy Value: Disabled | Product ID: CFQ7TTC0HD33</t>
  </si>
  <si>
    <t xml:space="preserve">Visio Plan 2</t>
  </si>
  <si>
    <t xml:space="preserve">Policy Value: Disabled | Product ID: CFQ7TTC0HD32</t>
  </si>
  <si>
    <t xml:space="preserve">Viva Goals</t>
  </si>
  <si>
    <t xml:space="preserve">Policy Value: Disabled | Product ID: CFQ7TTC0PW0V</t>
  </si>
  <si>
    <t xml:space="preserve">Viva Learning</t>
  </si>
  <si>
    <t xml:space="preserve">Policy Value: Disabled | Product ID: CFQ7TTC0HVZG</t>
  </si>
  <si>
    <t xml:space="preserve">Windows 365 Business</t>
  </si>
  <si>
    <t xml:space="preserve">Policy Value: Disabled | Product ID: CFQ7TTC0J203</t>
  </si>
  <si>
    <t xml:space="preserve">Windows 365 Business with Windows Hybrid Benefit</t>
  </si>
  <si>
    <t xml:space="preserve">Policy Value: Disabled | Product ID: CFQ7TTC0HX99</t>
  </si>
  <si>
    <t xml:space="preserve">Windows 365 Enterprise</t>
  </si>
  <si>
    <t xml:space="preserve">Policy Value: Disabled | Product ID: CFQ7TTC0HHS9</t>
  </si>
  <si>
    <t xml:space="preserve">Settings</t>
  </si>
  <si>
    <t xml:space="preserve">Password Expiration Policy</t>
  </si>
  <si>
    <t xml:space="preserve">Sets passwords to never expire for all users (PasswordsNeverExpire = True, PasswordValidityPeriodInDays = 2147483647). This is aligned with Microsoft's current security guidance: forced periodic password changes lead to weaker passwords (users make predictable incremental changes) and are no longer recommended when MFA is enforced. With MFA in place, credential compromise scenarios that would require password rotation are mitigated by the second factor.</t>
  </si>
  <si>
    <t xml:space="preserve">Password Validity Period In Days: 2147483647 (= never expire) | Passwords Never Expire: True</t>
  </si>
  <si>
    <t xml:space="preserve">M365 Admin Center &gt; Settings &gt; Org Settings &gt; Security &amp; Privacy &gt; Password expiration policy</t>
  </si>
  <si>
    <t xml:space="preserve">Users who previously received periodic password expiry notices will no longer be prompted to change their password. For most users this is a relief. This should be communicated alongside MFA enforcement to reassure users the change is intentional. Verify MFA is active before relying on this policy.</t>
  </si>
  <si>
    <t xml:space="preserve">Unified Audit Logging</t>
  </si>
  <si>
    <t xml:space="preserve">Enables the Microsoft 365 Unified Audit Log (UnifiedAuditLogIngestionEnabled = True). The UAL captures all user and admin activity across Exchange Online, SharePoint, OneDrive, Teams, Entra ID, and other M365 services into a single searchable log. Required for incident response, compliance reporting, eDiscovery, and security investigations. Audit records are retained for 90 days by default (E3/BP) or 1 year (E5). Policy GUID: aa07d323-2eeb-45ac-aaee-6f5158d7c780.</t>
  </si>
  <si>
    <t xml:space="preserve">Unified Audit Log Ingestion Enabled: True | Policy Type: UnifiedAuditLogging | Enabled: True</t>
  </si>
  <si>
    <t xml:space="preserve">Microsoft Purview &gt; Audit &gt; Start Recording User and Admin Activity</t>
  </si>
  <si>
    <t xml:space="preserve">Invisible to end users — no change to any user-facing functionality. Required for all forensic investigation and compliance obligations. Without this enabled, there is no audit trail for security incidents. Confirmed active as of 2026-06-12.</t>
  </si>
  <si>
    <t xml:space="preserve">Self-Service Trials &amp; Purchases — 27 Products (AllowSelfServicePurchase: Disabled)</t>
  </si>
  <si>
    <t xml:space="preserve">Product Name</t>
  </si>
  <si>
    <t xml:space="preserve">Product ID</t>
  </si>
  <si>
    <t xml:space="preserve">Policy Value</t>
  </si>
  <si>
    <t xml:space="preserve">CFQ7TTC0LH3N</t>
  </si>
  <si>
    <t xml:space="preserve">Disabled</t>
  </si>
  <si>
    <t xml:space="preserve">✅ Confirmed</t>
  </si>
  <si>
    <t xml:space="preserve">CFQ7TTC0LHVK</t>
  </si>
  <si>
    <t xml:space="preserve">CFQ7TTC0LHWM</t>
  </si>
  <si>
    <t xml:space="preserve">CFQ7TTC0LHWP</t>
  </si>
  <si>
    <t xml:space="preserve">CFQ7TTC0MM8R</t>
  </si>
  <si>
    <t xml:space="preserve">CFQ7TTC0LH05</t>
  </si>
  <si>
    <t xml:space="preserve">CFQ7TTC0N8SS</t>
  </si>
  <si>
    <t xml:space="preserve">CFQ7TTC0N8SL</t>
  </si>
  <si>
    <t xml:space="preserve">CFQ7TTC0LH2H</t>
  </si>
  <si>
    <t xml:space="preserve">CFQ7TTC0LH3L</t>
  </si>
  <si>
    <t xml:space="preserve">CFQ7TTC0LSGZ</t>
  </si>
  <si>
    <t xml:space="preserve">CFQ7TTC0KXG6</t>
  </si>
  <si>
    <t xml:space="preserve">CFQ7TTC0H6RP</t>
  </si>
  <si>
    <t xml:space="preserve">CFQ7TTC0H9MP</t>
  </si>
  <si>
    <t xml:space="preserve">CFQ7TTC0HDB1</t>
  </si>
  <si>
    <t xml:space="preserve">CFQ7TTC0HDB0</t>
  </si>
  <si>
    <t xml:space="preserve">CFQ7TTC0S3X1</t>
  </si>
  <si>
    <t xml:space="preserve">CFQ7TTC0JN4R</t>
  </si>
  <si>
    <t xml:space="preserve">CFQ7TTC0J1FV</t>
  </si>
  <si>
    <t xml:space="preserve">CFQ7TTC0RM8K</t>
  </si>
  <si>
    <t xml:space="preserve">CFQ7TTC0HD33</t>
  </si>
  <si>
    <t xml:space="preserve">CFQ7TTC0HD32</t>
  </si>
  <si>
    <t xml:space="preserve">CFQ7TTC0PW0V</t>
  </si>
  <si>
    <t xml:space="preserve">CFQ7TTC0HVZG</t>
  </si>
  <si>
    <t xml:space="preserve">CFQ7TTC0J203</t>
  </si>
  <si>
    <t xml:space="preserve">CFQ7TTC0HX99</t>
  </si>
  <si>
    <t xml:space="preserve">CFQ7TTC0HHS9</t>
  </si>
  <si>
    <t xml:space="preserve">Excluded / N/A Items — Move rows here when a policy does not apply</t>
  </si>
  <si>
    <t xml:space="preserve">Reason Excluded</t>
  </si>
  <si>
    <t xml:space="preserve">Excluded By</t>
  </si>
  <si>
    <t xml:space="preserve">How To Use — Baseline 0 Verification Playbook</t>
  </si>
  <si>
    <t xml:space="preserve">WHAT IS BASELINE 0?</t>
  </si>
  <si>
    <t xml:space="preserve">Purpose</t>
  </si>
  <si>
    <t xml:space="preserve">This workbook documents the Omni Strategic Technologies Inforcer baseline snapshot generated on 2026-06-12. It captures 48 policies across Entra, SharePoint, M365 Admin Center, and Purview. Impact ratings and 'What It Does' descriptions were researched against Microsoft Learn documentation.</t>
  </si>
  <si>
    <t xml:space="preserve">Impact Ratings</t>
  </si>
  <si>
    <t xml:space="preserve">HIGH = the policy's current configured state has significant user-facing implications (password expiry, SSPR disabled, MFA required). MEDIUM = moderate user-facing effect, may be noticed by some users. LOW = backend/admin-level change, users unlikely to notice.</t>
  </si>
  <si>
    <t xml:space="preserve">COLUMN GUIDE</t>
  </si>
  <si>
    <t xml:space="preserve">Impact (E)</t>
  </si>
  <si>
    <t xml:space="preserve">HIGH/MEDIUM/LOW based on the functional impact of this policy's current configuration. Sourced from Microsoft Learn docs and cross-referenced with Inforcer's own impact definitions.</t>
  </si>
  <si>
    <t xml:space="preserve">What It Does (F)</t>
  </si>
  <si>
    <t xml:space="preserve">Plain-English description of what this policy actually does in the tenant — sourced from Microsoft Learn documentation.</t>
  </si>
  <si>
    <t xml:space="preserve">Current Settings (G)</t>
  </si>
  <si>
    <t xml:space="preserve">The actual configured values extracted from the Inforcer baseline HTML export dated 2026-06-12.</t>
  </si>
  <si>
    <t xml:space="preserve">Notes / Verification Tips (I)</t>
  </si>
  <si>
    <t xml:space="preserve">Specific things to check or be aware of when verifying this policy. HIGH impact rows are highlighted in red.</t>
  </si>
  <si>
    <t xml:space="preserve">Status options</t>
  </si>
  <si>
    <t xml:space="preserve">Not Verified | In Progress | Verified | Drift Detected (setting has changed — investigate) | N/A</t>
  </si>
  <si>
    <t xml:space="preserve">KEY FINDINGS — REQUIRES ATTENTION</t>
  </si>
  <si>
    <t xml:space="preserve">⚠️ SSPR is DISABLED (HIGH)</t>
  </si>
  <si>
    <t xml:space="preserve">Self-service password reset is currently set to Is Enabled: False. With MFA enforced, Microsoft recommends enabling SSPR as the secure self-recovery path. Users locked out or who forget their password must contact helpdesk — creating ticket volume and delays. Verify if this is intentional.</t>
  </si>
  <si>
    <t xml:space="preserve">⚠️ Device quota is 10 (differs from Tier 1)</t>
  </si>
  <si>
    <t xml:space="preserve">The Inforcer Tier 1 baseline sets UserDeviceQuota to 20. This tenant has it set to 10. Either confirm this is a deliberate customization or align with the Tier 1 default.</t>
  </si>
  <si>
    <t xml:space="preserve">✅ UAL Confirmed Active</t>
  </si>
  <si>
    <t xml:space="preserve">Unified Audit Logging is enabled (Policy GUID: aa07d323-2eeb-45ac-aaee-6f5158d7c780). Verified 2026-06-12.</t>
  </si>
  <si>
    <t xml:space="preserve">✅ MFA Required at Tenant Level</t>
  </si>
  <si>
    <t xml:space="preserve">MultiFactorAuthConfiguration = required. All users will be prompted to enroll on next sign-in if not already registered.</t>
  </si>
  <si>
    <t xml:space="preserve">✅ Passwords Never Expire</t>
  </si>
  <si>
    <t xml:space="preserve">Correctly set — aligned with Microsoft best practice when MFA is enforced.</t>
  </si>
  <si>
    <t xml:space="preserve">✅ All 27 Self-Service Purchases Blocked</t>
  </si>
  <si>
    <t xml:space="preserve">All AllowSelfServicePurchase policies confirmed Disabled. See 🛒 Self-Service Products tab.</t>
  </si>
  <si>
    <t xml:space="preserve">✅ Guest Restrictions in Place</t>
  </si>
  <si>
    <t xml:space="preserve">Guest invitations restricted to admins/Guest Inviter role. Guests set to most restricted role (Restricted Guest User).</t>
  </si>
</sst>
</file>

<file path=xl/styles.xml><?xml version="1.0" encoding="utf-8"?>
<styleSheet xmlns="http://schemas.openxmlformats.org/spreadsheetml/2006/main">
  <numFmts count="3">
    <numFmt numFmtId="164" formatCode="General"/>
    <numFmt numFmtId="165" formatCode="General"/>
    <numFmt numFmtId="166" formatCode="0%"/>
  </numFmts>
  <fonts count="2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AAAAAA"/>
      <name val="Arial"/>
      <family val="0"/>
      <charset val="1"/>
    </font>
    <font>
      <b val="true"/>
      <sz val="9"/>
      <color rgb="FFFFFFFF"/>
      <name val="Arial"/>
      <family val="0"/>
      <charset val="1"/>
    </font>
    <font>
      <b val="true"/>
      <sz val="20"/>
      <color rgb="FFC44A1E"/>
      <name val="Arial"/>
      <family val="0"/>
      <charset val="1"/>
    </font>
    <font>
      <b val="true"/>
      <sz val="10"/>
      <color rgb="FFFFFFFF"/>
      <name val="Arial"/>
      <family val="0"/>
      <charset val="1"/>
    </font>
    <font>
      <sz val="9"/>
      <color rgb="FF000000"/>
      <name val="Arial"/>
      <family val="0"/>
      <charset val="1"/>
    </font>
    <font>
      <b val="true"/>
      <sz val="9"/>
      <color rgb="FFB71C1C"/>
      <name val="Arial"/>
      <family val="0"/>
      <charset val="1"/>
    </font>
    <font>
      <b val="true"/>
      <sz val="9"/>
      <color rgb="FFE65100"/>
      <name val="Arial"/>
      <family val="0"/>
      <charset val="1"/>
    </font>
    <font>
      <b val="true"/>
      <sz val="9"/>
      <color rgb="FF1B5E20"/>
      <name val="Arial"/>
      <family val="0"/>
      <charset val="1"/>
    </font>
    <font>
      <b val="true"/>
      <sz val="9"/>
      <color rgb="FF3949AB"/>
      <name val="Arial"/>
      <family val="0"/>
      <charset val="1"/>
    </font>
    <font>
      <b val="true"/>
      <sz val="9"/>
      <color rgb="FF000000"/>
      <name val="Arial"/>
      <family val="0"/>
      <charset val="1"/>
    </font>
    <font>
      <b val="true"/>
      <sz val="11"/>
      <color rgb="FFFFFFFF"/>
      <name val="Arial"/>
      <family val="0"/>
      <charset val="1"/>
    </font>
    <font>
      <b val="true"/>
      <sz val="9"/>
      <color rgb="FFBF360C"/>
      <name val="Arial"/>
      <family val="0"/>
      <charset val="1"/>
    </font>
    <font>
      <b val="true"/>
      <sz val="9"/>
      <color rgb="FF8C2E0D"/>
      <name val="Arial"/>
      <family val="0"/>
      <charset val="1"/>
    </font>
    <font>
      <sz val="8"/>
      <color rgb="FF000000"/>
      <name val="Arial"/>
      <family val="0"/>
      <charset val="1"/>
    </font>
    <font>
      <b val="true"/>
      <sz val="9"/>
      <color rgb="FF999999"/>
      <name val="Arial"/>
      <family val="0"/>
      <charset val="1"/>
    </font>
    <font>
      <b val="true"/>
      <sz val="13"/>
      <color rgb="FFFFFFFF"/>
      <name val="Arial"/>
      <family val="0"/>
      <charset val="1"/>
    </font>
  </fonts>
  <fills count="20">
    <fill>
      <patternFill patternType="none"/>
    </fill>
    <fill>
      <patternFill patternType="gray125"/>
    </fill>
    <fill>
      <patternFill patternType="solid">
        <fgColor rgb="FF8C2E0D"/>
        <bgColor rgb="FF6B1F07"/>
      </patternFill>
    </fill>
    <fill>
      <patternFill patternType="solid">
        <fgColor rgb="FF1A1A2E"/>
        <bgColor rgb="FF333300"/>
      </patternFill>
    </fill>
    <fill>
      <patternFill patternType="solid">
        <fgColor rgb="FFC44A1E"/>
        <bgColor rgb="FFBF360C"/>
      </patternFill>
    </fill>
    <fill>
      <patternFill patternType="solid">
        <fgColor rgb="FFFEF0EA"/>
        <bgColor rgb="FFFDECEA"/>
      </patternFill>
    </fill>
    <fill>
      <patternFill patternType="solid">
        <fgColor rgb="FFEF5C2A"/>
        <bgColor rgb="FFE65100"/>
      </patternFill>
    </fill>
    <fill>
      <patternFill patternType="solid">
        <fgColor rgb="FF6B1F07"/>
        <bgColor rgb="FF8C2E0D"/>
      </patternFill>
    </fill>
    <fill>
      <patternFill patternType="solid">
        <fgColor rgb="FFFFFFFF"/>
        <bgColor rgb="FFFEF9F8"/>
      </patternFill>
    </fill>
    <fill>
      <patternFill patternType="solid">
        <fgColor rgb="FFFDECEA"/>
        <bgColor rgb="FFFBE9E7"/>
      </patternFill>
    </fill>
    <fill>
      <patternFill patternType="solid">
        <fgColor rgb="FFFFF8E1"/>
        <bgColor rgb="FFFFF3E0"/>
      </patternFill>
    </fill>
    <fill>
      <patternFill patternType="solid">
        <fgColor rgb="FFE8EAF6"/>
        <bgColor rgb="FFF9F0FF"/>
      </patternFill>
    </fill>
    <fill>
      <patternFill patternType="solid">
        <fgColor rgb="FFFFF3E0"/>
        <bgColor rgb="FFFFF8E1"/>
      </patternFill>
    </fill>
    <fill>
      <patternFill patternType="solid">
        <fgColor rgb="FFFBE9E7"/>
        <bgColor rgb="FFFDECEA"/>
      </patternFill>
    </fill>
    <fill>
      <patternFill patternType="solid">
        <fgColor rgb="FFFAF5FF"/>
        <bgColor rgb="FFF9F0FF"/>
      </patternFill>
    </fill>
    <fill>
      <patternFill patternType="solid">
        <fgColor rgb="FFFEF9F8"/>
        <bgColor rgb="FFFAF5FF"/>
      </patternFill>
    </fill>
    <fill>
      <patternFill patternType="solid">
        <fgColor rgb="FF6C3483"/>
        <bgColor rgb="FF7D3C98"/>
      </patternFill>
    </fill>
    <fill>
      <patternFill patternType="solid">
        <fgColor rgb="FF7D3C98"/>
        <bgColor rgb="FF6C3483"/>
      </patternFill>
    </fill>
    <fill>
      <patternFill patternType="solid">
        <fgColor rgb="FFF9F0FF"/>
        <bgColor rgb="FFFAF5FF"/>
      </patternFill>
    </fill>
    <fill>
      <patternFill patternType="solid">
        <fgColor rgb="FFC8F0DC"/>
        <bgColor rgb="FFE8EAF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5" fontId="7" fillId="5" borderId="0" xfId="0" applyFont="true" applyBorder="false" applyAlignment="true" applyProtection="false">
      <alignment horizontal="center" vertical="center" textRotation="0" wrapText="true" indent="0" shrinkToFit="false"/>
      <protection locked="true" hidden="false"/>
    </xf>
    <xf numFmtId="166" fontId="7" fillId="5" borderId="0" xfId="0" applyFont="true" applyBorder="false" applyAlignment="true" applyProtection="false">
      <alignment horizontal="center" vertical="center" textRotation="0" wrapText="true" indent="0" shrinkToFit="false"/>
      <protection locked="true" hidden="false"/>
    </xf>
    <xf numFmtId="164" fontId="8" fillId="6" borderId="0" xfId="0" applyFont="true" applyBorder="true" applyAlignment="true" applyProtection="false">
      <alignment horizontal="center" vertical="center" textRotation="0" wrapText="fals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false" indent="1"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false" indent="1" shrinkToFit="false"/>
      <protection locked="true" hidden="false"/>
    </xf>
    <xf numFmtId="165" fontId="9" fillId="8" borderId="1" xfId="0" applyFont="true" applyBorder="true" applyAlignment="true" applyProtection="false">
      <alignment horizontal="center" vertical="center" textRotation="0" wrapText="true" indent="0" shrinkToFit="false"/>
      <protection locked="true" hidden="false"/>
    </xf>
    <xf numFmtId="166" fontId="9" fillId="8"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center"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6" fillId="13"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7" fillId="5" borderId="1"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18" fillId="14" borderId="1" xfId="0" applyFont="true" applyBorder="true" applyAlignment="true" applyProtection="false">
      <alignment horizontal="center" vertical="top" textRotation="0" wrapText="true" indent="0" shrinkToFit="false"/>
      <protection locked="true" hidden="false"/>
    </xf>
    <xf numFmtId="164" fontId="18" fillId="14" borderId="1" xfId="0" applyFont="true" applyBorder="true" applyAlignment="true" applyProtection="false">
      <alignment horizontal="left" vertical="top" textRotation="0" wrapText="true" indent="0" shrinkToFit="false"/>
      <protection locked="true" hidden="false"/>
    </xf>
    <xf numFmtId="164" fontId="19" fillId="15"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15" fillId="16" borderId="0" xfId="0" applyFont="true" applyBorder="true" applyAlignment="true" applyProtection="false">
      <alignment horizontal="center" vertical="center" textRotation="0" wrapText="false" indent="0"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0" fillId="18" borderId="1" xfId="0" applyFont="false" applyBorder="true" applyAlignment="false" applyProtection="false">
      <alignment horizontal="general" vertical="bottom"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1" shrinkToFit="false"/>
      <protection locked="true" hidden="false"/>
    </xf>
    <xf numFmtId="164" fontId="17" fillId="8" borderId="1" xfId="0" applyFont="true" applyBorder="true" applyAlignment="true" applyProtection="false">
      <alignment horizontal="left" vertical="top" textRotation="0" wrapText="true" indent="0" shrinkToFit="false"/>
      <protection locked="true" hidden="false"/>
    </xf>
    <xf numFmtId="164" fontId="17" fillId="9" borderId="1" xfId="0" applyFont="true" applyBorder="true" applyAlignment="true" applyProtection="false">
      <alignment horizontal="left" vertical="top" textRotation="0" wrapText="true" indent="0" shrinkToFit="false"/>
      <protection locked="true" hidden="false"/>
    </xf>
    <xf numFmtId="164" fontId="17" fillId="19" borderId="1" xfId="0" applyFont="true" applyBorder="true" applyAlignment="true" applyProtection="false">
      <alignment horizontal="left" vertical="top" textRotation="0" wrapText="true" indent="0" shrinkToFit="false"/>
      <protection locked="true" hidden="false"/>
    </xf>
    <xf numFmtId="164" fontId="9" fillId="1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8F0DC"/>
        </patternFill>
      </fill>
    </dxf>
    <dxf>
      <fill>
        <patternFill>
          <bgColor rgb="FFFFF3CD"/>
        </patternFill>
      </fill>
    </dxf>
    <dxf>
      <fill>
        <patternFill>
          <bgColor rgb="FFE8EAF6"/>
        </patternFill>
      </fill>
    </dxf>
    <dxf>
      <fill>
        <patternFill>
          <bgColor rgb="FFF5F5F5"/>
        </patternFill>
      </fill>
    </dxf>
  </dxfs>
  <colors>
    <indexedColors>
      <rgbColor rgb="FF000000"/>
      <rgbColor rgb="FFFFFFFF"/>
      <rgbColor rgb="FFBF360C"/>
      <rgbColor rgb="FF00FF00"/>
      <rgbColor rgb="FF0000FF"/>
      <rgbColor rgb="FFFFF3E0"/>
      <rgbColor rgb="FFFF00FF"/>
      <rgbColor rgb="FF00FFFF"/>
      <rgbColor rgb="FF6B1F07"/>
      <rgbColor rgb="FF1B5E20"/>
      <rgbColor rgb="FF000080"/>
      <rgbColor rgb="FFC44A1E"/>
      <rgbColor rgb="FF800080"/>
      <rgbColor rgb="FF008080"/>
      <rgbColor rgb="FFCCCCCC"/>
      <rgbColor rgb="FF808080"/>
      <rgbColor rgb="FFAAAAAA"/>
      <rgbColor rgb="FF7D3C98"/>
      <rgbColor rgb="FFFFF8E1"/>
      <rgbColor rgb="FFE8EAF6"/>
      <rgbColor rgb="FF660066"/>
      <rgbColor rgb="FFFF8080"/>
      <rgbColor rgb="FF0066CC"/>
      <rgbColor rgb="FFF9F0FF"/>
      <rgbColor rgb="FF000080"/>
      <rgbColor rgb="FFFF00FF"/>
      <rgbColor rgb="FFFEF9F8"/>
      <rgbColor rgb="FF00FFFF"/>
      <rgbColor rgb="FF800080"/>
      <rgbColor rgb="FFB71C1C"/>
      <rgbColor rgb="FF008080"/>
      <rgbColor rgb="FF0000FF"/>
      <rgbColor rgb="FF00CCFF"/>
      <rgbColor rgb="FFF5F5F5"/>
      <rgbColor rgb="FFC8F0DC"/>
      <rgbColor rgb="FFFFF3CD"/>
      <rgbColor rgb="FFFDECEA"/>
      <rgbColor rgb="FFFEF0EA"/>
      <rgbColor rgb="FFFAF5FF"/>
      <rgbColor rgb="FFFBE9E7"/>
      <rgbColor rgb="FF3366FF"/>
      <rgbColor rgb="FF33CCCC"/>
      <rgbColor rgb="FF99CC00"/>
      <rgbColor rgb="FFFFCC00"/>
      <rgbColor rgb="FFE65100"/>
      <rgbColor rgb="FFEF5C2A"/>
      <rgbColor rgb="FF666699"/>
      <rgbColor rgb="FF999999"/>
      <rgbColor rgb="FF003366"/>
      <rgbColor rgb="FF339966"/>
      <rgbColor rgb="FF003300"/>
      <rgbColor rgb="FF333300"/>
      <rgbColor rgb="FF8C2E0D"/>
      <rgbColor rgb="FF6C3483"/>
      <rgbColor rgb="FF3949AB"/>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4"/>
    <col collapsed="false" customWidth="true" hidden="false" outlineLevel="0" max="7" min="7" style="0" width="3"/>
  </cols>
  <sheetData>
    <row r="1" customFormat="false" ht="36" hidden="false" customHeight="true" outlineLevel="0" collapsed="false">
      <c r="B1" s="1" t="s">
        <v>0</v>
      </c>
      <c r="C1" s="1"/>
      <c r="D1" s="1"/>
      <c r="E1" s="1"/>
      <c r="F1" s="1"/>
    </row>
    <row r="2" customFormat="false" ht="18" hidden="false" customHeight="true" outlineLevel="0" collapsed="false">
      <c r="B2" s="2" t="s">
        <v>1</v>
      </c>
      <c r="C2" s="2"/>
      <c r="D2" s="2"/>
      <c r="E2" s="2"/>
      <c r="F2" s="2"/>
    </row>
    <row r="3" customFormat="false" ht="7.5" hidden="false" customHeight="true" outlineLevel="0" collapsed="false"/>
    <row r="4" customFormat="false" ht="18" hidden="false" customHeight="true" outlineLevel="0" collapsed="false">
      <c r="B4" s="3" t="s">
        <v>2</v>
      </c>
      <c r="C4" s="3" t="s">
        <v>3</v>
      </c>
      <c r="D4" s="3" t="s">
        <v>4</v>
      </c>
      <c r="E4" s="3" t="s">
        <v>5</v>
      </c>
      <c r="F4" s="3" t="s">
        <v>6</v>
      </c>
    </row>
    <row r="5" customFormat="false" ht="37.5" hidden="false" customHeight="true" outlineLevel="0" collapsed="false">
      <c r="B5" s="4" t="n">
        <f aca="false">COUNTA('✅ Baseline'!A:A)-1</f>
        <v>49</v>
      </c>
      <c r="C5" s="4" t="n">
        <f aca="false">COUNTIF('✅ Baseline'!J:J,"Not Verified")</f>
        <v>48</v>
      </c>
      <c r="D5" s="4" t="n">
        <f aca="false">COUNTIF('✅ Baseline'!J:J,"In Progress")</f>
        <v>0</v>
      </c>
      <c r="E5" s="4" t="n">
        <f aca="false">COUNTIF('✅ Baseline'!J:J,"Verified")</f>
        <v>0</v>
      </c>
      <c r="F5" s="5" t="n">
        <f aca="false">IFERROR(E5/B5,0)</f>
        <v>0</v>
      </c>
    </row>
    <row r="6" customFormat="false" ht="7.5" hidden="false" customHeight="true" outlineLevel="0" collapsed="false"/>
    <row r="7" customFormat="false" ht="19.5" hidden="false" customHeight="true" outlineLevel="0" collapsed="false">
      <c r="B7" s="6" t="s">
        <v>7</v>
      </c>
      <c r="C7" s="6"/>
      <c r="D7" s="6"/>
      <c r="E7" s="6"/>
      <c r="F7" s="6"/>
    </row>
    <row r="8" customFormat="false" ht="18" hidden="false" customHeight="true" outlineLevel="0" collapsed="false">
      <c r="B8" s="7" t="s">
        <v>8</v>
      </c>
      <c r="C8" s="7" t="s">
        <v>9</v>
      </c>
      <c r="D8" s="7" t="s">
        <v>5</v>
      </c>
      <c r="E8" s="7" t="s">
        <v>4</v>
      </c>
      <c r="F8" s="7" t="s">
        <v>10</v>
      </c>
    </row>
    <row r="9" customFormat="false" ht="15.75" hidden="false" customHeight="true" outlineLevel="0" collapsed="false">
      <c r="B9" s="8" t="s">
        <v>11</v>
      </c>
      <c r="C9" s="9" t="n">
        <f aca="false">COUNTIF('✅ Baseline'!B:B,"Entra")</f>
        <v>12</v>
      </c>
      <c r="D9" s="9" t="n">
        <f aca="false">COUNTIFS('✅ Baseline'!B:B,"Entra",'✅ Baseline'!J:J,"Verified")</f>
        <v>0</v>
      </c>
      <c r="E9" s="9" t="n">
        <f aca="false">COUNTIFS('✅ Baseline'!B:B,"Entra",'✅ Baseline'!J:J,"In Progress")</f>
        <v>0</v>
      </c>
      <c r="F9" s="10" t="n">
        <f aca="false">IFERROR(D9/C9,0)</f>
        <v>0</v>
      </c>
    </row>
    <row r="10" customFormat="false" ht="15.75" hidden="false" customHeight="true" outlineLevel="0" collapsed="false">
      <c r="B10" s="11" t="s">
        <v>12</v>
      </c>
      <c r="C10" s="12" t="n">
        <f aca="false">COUNTIF('✅ Baseline'!B:B,"M365 Admin Center")</f>
        <v>29</v>
      </c>
      <c r="D10" s="12" t="n">
        <f aca="false">COUNTIFS('✅ Baseline'!B:B,"M365 Admin Center",'✅ Baseline'!J:J,"Verified")</f>
        <v>0</v>
      </c>
      <c r="E10" s="12" t="n">
        <f aca="false">COUNTIFS('✅ Baseline'!B:B,"M365 Admin Center",'✅ Baseline'!J:J,"In Progress")</f>
        <v>0</v>
      </c>
      <c r="F10" s="13" t="n">
        <f aca="false">IFERROR(D10/C10,0)</f>
        <v>0</v>
      </c>
    </row>
    <row r="11" customFormat="false" ht="15.75" hidden="false" customHeight="true" outlineLevel="0" collapsed="false">
      <c r="B11" s="8" t="s">
        <v>13</v>
      </c>
      <c r="C11" s="9" t="n">
        <f aca="false">COUNTIF('✅ Baseline'!B:B,"Purview")</f>
        <v>1</v>
      </c>
      <c r="D11" s="9" t="n">
        <f aca="false">COUNTIFS('✅ Baseline'!B:B,"Purview",'✅ Baseline'!J:J,"Verified")</f>
        <v>0</v>
      </c>
      <c r="E11" s="9" t="n">
        <f aca="false">COUNTIFS('✅ Baseline'!B:B,"Purview",'✅ Baseline'!J:J,"In Progress")</f>
        <v>0</v>
      </c>
      <c r="F11" s="10" t="n">
        <f aca="false">IFERROR(D11/C11,0)</f>
        <v>0</v>
      </c>
    </row>
    <row r="12" customFormat="false" ht="15.75" hidden="false" customHeight="true" outlineLevel="0" collapsed="false">
      <c r="B12" s="11" t="s">
        <v>14</v>
      </c>
      <c r="C12" s="12" t="n">
        <f aca="false">COUNTIF('✅ Baseline'!B:B,"SharePoint")</f>
        <v>6</v>
      </c>
      <c r="D12" s="12" t="n">
        <f aca="false">COUNTIFS('✅ Baseline'!B:B,"SharePoint",'✅ Baseline'!J:J,"Verified")</f>
        <v>0</v>
      </c>
      <c r="E12" s="12" t="n">
        <f aca="false">COUNTIFS('✅ Baseline'!B:B,"SharePoint",'✅ Baseline'!J:J,"In Progress")</f>
        <v>0</v>
      </c>
      <c r="F12" s="13" t="n">
        <f aca="false">IFERROR(D12/C12,0)</f>
        <v>0</v>
      </c>
    </row>
    <row r="15" customFormat="false" ht="18" hidden="false" customHeight="true" outlineLevel="0" collapsed="false">
      <c r="B15" s="14" t="s">
        <v>15</v>
      </c>
      <c r="C15" s="14"/>
      <c r="D15" s="14"/>
      <c r="E15" s="14"/>
      <c r="F15" s="14"/>
    </row>
    <row r="16" customFormat="false" ht="18" hidden="false" customHeight="true" outlineLevel="0" collapsed="false">
      <c r="B16" s="15" t="s">
        <v>16</v>
      </c>
      <c r="C16" s="16" t="s">
        <v>17</v>
      </c>
      <c r="D16" s="17" t="s">
        <v>18</v>
      </c>
      <c r="E16" s="18" t="s">
        <v>19</v>
      </c>
      <c r="F16" s="19" t="s">
        <v>3</v>
      </c>
    </row>
  </sheetData>
  <mergeCells count="4">
    <mergeCell ref="B1:F1"/>
    <mergeCell ref="B2:F2"/>
    <mergeCell ref="B7:F7"/>
    <mergeCell ref="B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36"/>
    <col collapsed="false" customWidth="true" hidden="false" outlineLevel="0" max="5" min="5" style="0" width="12"/>
    <col collapsed="false" customWidth="true" hidden="false" outlineLevel="0" max="6" min="6" style="0" width="52"/>
    <col collapsed="false" customWidth="true" hidden="false" outlineLevel="0" max="7" min="7" style="0" width="50"/>
    <col collapsed="false" customWidth="true" hidden="false" outlineLevel="0" max="8" min="8" style="0" width="40"/>
    <col collapsed="false" customWidth="true" hidden="false" outlineLevel="0" max="9" min="9" style="0" width="44"/>
    <col collapsed="false" customWidth="true" hidden="false" outlineLevel="0" max="10" min="10" style="0" width="16"/>
    <col collapsed="false" customWidth="true" hidden="false" outlineLevel="0" max="11" min="11" style="0" width="14"/>
    <col collapsed="false" customWidth="true" hidden="false" outlineLevel="0" max="12" min="12" style="0" width="10"/>
    <col collapsed="false" customWidth="true" hidden="false" outlineLevel="0" max="13" min="13" style="0" width="40"/>
  </cols>
  <sheetData>
    <row r="1" customFormat="false" ht="25.5" hidden="false" customHeight="true" outlineLevel="0" collapsed="false">
      <c r="A1" s="20" t="s">
        <v>20</v>
      </c>
      <c r="B1" s="20"/>
      <c r="C1" s="20"/>
      <c r="D1" s="20"/>
      <c r="E1" s="20"/>
      <c r="F1" s="20"/>
      <c r="G1" s="20"/>
      <c r="H1" s="20"/>
      <c r="I1" s="20"/>
      <c r="J1" s="20"/>
      <c r="K1" s="20"/>
      <c r="L1" s="20"/>
      <c r="M1" s="20"/>
    </row>
    <row r="2" customFormat="false" ht="30" hidden="false" customHeight="true" outlineLevel="0" collapsed="false">
      <c r="A2" s="21" t="s">
        <v>21</v>
      </c>
      <c r="B2" s="21" t="s">
        <v>8</v>
      </c>
      <c r="C2" s="21" t="s">
        <v>22</v>
      </c>
      <c r="D2" s="21" t="s">
        <v>23</v>
      </c>
      <c r="E2" s="21" t="s">
        <v>24</v>
      </c>
      <c r="F2" s="21" t="s">
        <v>25</v>
      </c>
      <c r="G2" s="21" t="s">
        <v>26</v>
      </c>
      <c r="H2" s="21" t="s">
        <v>27</v>
      </c>
      <c r="I2" s="21" t="s">
        <v>28</v>
      </c>
      <c r="J2" s="21" t="s">
        <v>29</v>
      </c>
      <c r="K2" s="21" t="s">
        <v>30</v>
      </c>
      <c r="L2" s="21" t="s">
        <v>31</v>
      </c>
      <c r="M2" s="21" t="s">
        <v>32</v>
      </c>
    </row>
    <row r="3" customFormat="false" ht="60" hidden="false" customHeight="true" outlineLevel="0" collapsed="false">
      <c r="A3" s="22" t="n">
        <v>1</v>
      </c>
      <c r="B3" s="23" t="s">
        <v>11</v>
      </c>
      <c r="C3" s="24" t="s">
        <v>33</v>
      </c>
      <c r="D3" s="23" t="s">
        <v>34</v>
      </c>
      <c r="E3" s="25" t="s">
        <v>35</v>
      </c>
      <c r="F3" s="23" t="s">
        <v>36</v>
      </c>
      <c r="G3" s="23" t="s">
        <v>37</v>
      </c>
      <c r="H3" s="23" t="s">
        <v>38</v>
      </c>
      <c r="I3" s="23" t="s">
        <v>39</v>
      </c>
      <c r="J3" s="22" t="s">
        <v>3</v>
      </c>
      <c r="K3" s="22"/>
      <c r="L3" s="22"/>
      <c r="M3" s="23"/>
    </row>
    <row r="4" customFormat="false" ht="60" hidden="false" customHeight="true" outlineLevel="0" collapsed="false">
      <c r="A4" s="26" t="n">
        <v>2</v>
      </c>
      <c r="B4" s="27" t="s">
        <v>11</v>
      </c>
      <c r="C4" s="24" t="s">
        <v>33</v>
      </c>
      <c r="D4" s="27" t="s">
        <v>40</v>
      </c>
      <c r="E4" s="28" t="s">
        <v>41</v>
      </c>
      <c r="F4" s="27" t="s">
        <v>42</v>
      </c>
      <c r="G4" s="27" t="s">
        <v>43</v>
      </c>
      <c r="H4" s="27" t="s">
        <v>44</v>
      </c>
      <c r="I4" s="29" t="s">
        <v>45</v>
      </c>
      <c r="J4" s="26" t="s">
        <v>3</v>
      </c>
      <c r="K4" s="26"/>
      <c r="L4" s="26"/>
      <c r="M4" s="27"/>
    </row>
    <row r="5" customFormat="false" ht="60" hidden="false" customHeight="true" outlineLevel="0" collapsed="false">
      <c r="A5" s="22" t="n">
        <v>3</v>
      </c>
      <c r="B5" s="23" t="s">
        <v>11</v>
      </c>
      <c r="C5" s="24" t="s">
        <v>33</v>
      </c>
      <c r="D5" s="23" t="s">
        <v>46</v>
      </c>
      <c r="E5" s="30" t="s">
        <v>47</v>
      </c>
      <c r="F5" s="23" t="s">
        <v>48</v>
      </c>
      <c r="G5" s="23" t="s">
        <v>49</v>
      </c>
      <c r="H5" s="23" t="s">
        <v>50</v>
      </c>
      <c r="I5" s="23" t="s">
        <v>51</v>
      </c>
      <c r="J5" s="22" t="s">
        <v>3</v>
      </c>
      <c r="K5" s="22"/>
      <c r="L5" s="22"/>
      <c r="M5" s="23"/>
    </row>
    <row r="6" customFormat="false" ht="60" hidden="false" customHeight="true" outlineLevel="0" collapsed="false">
      <c r="A6" s="26" t="n">
        <v>4</v>
      </c>
      <c r="B6" s="27" t="s">
        <v>11</v>
      </c>
      <c r="C6" s="31" t="s">
        <v>52</v>
      </c>
      <c r="D6" s="27" t="s">
        <v>53</v>
      </c>
      <c r="E6" s="30" t="s">
        <v>47</v>
      </c>
      <c r="F6" s="27" t="s">
        <v>54</v>
      </c>
      <c r="G6" s="27" t="s">
        <v>55</v>
      </c>
      <c r="H6" s="27" t="s">
        <v>56</v>
      </c>
      <c r="I6" s="27" t="s">
        <v>57</v>
      </c>
      <c r="J6" s="26" t="s">
        <v>3</v>
      </c>
      <c r="K6" s="26"/>
      <c r="L6" s="26"/>
      <c r="M6" s="27"/>
    </row>
    <row r="7" customFormat="false" ht="60" hidden="false" customHeight="true" outlineLevel="0" collapsed="false">
      <c r="A7" s="22" t="n">
        <v>5</v>
      </c>
      <c r="B7" s="23" t="s">
        <v>11</v>
      </c>
      <c r="C7" s="32" t="s">
        <v>58</v>
      </c>
      <c r="D7" s="23" t="s">
        <v>59</v>
      </c>
      <c r="E7" s="30" t="s">
        <v>47</v>
      </c>
      <c r="F7" s="23" t="s">
        <v>60</v>
      </c>
      <c r="G7" s="23" t="s">
        <v>61</v>
      </c>
      <c r="H7" s="23" t="s">
        <v>62</v>
      </c>
      <c r="I7" s="23" t="s">
        <v>63</v>
      </c>
      <c r="J7" s="22" t="s">
        <v>3</v>
      </c>
      <c r="K7" s="22"/>
      <c r="L7" s="22"/>
      <c r="M7" s="23"/>
    </row>
    <row r="8" customFormat="false" ht="60" hidden="false" customHeight="true" outlineLevel="0" collapsed="false">
      <c r="A8" s="26" t="n">
        <v>6</v>
      </c>
      <c r="B8" s="27" t="s">
        <v>11</v>
      </c>
      <c r="C8" s="32" t="s">
        <v>58</v>
      </c>
      <c r="D8" s="27" t="s">
        <v>64</v>
      </c>
      <c r="E8" s="30" t="s">
        <v>47</v>
      </c>
      <c r="F8" s="27" t="s">
        <v>65</v>
      </c>
      <c r="G8" s="27" t="s">
        <v>66</v>
      </c>
      <c r="H8" s="27" t="s">
        <v>67</v>
      </c>
      <c r="I8" s="27" t="s">
        <v>68</v>
      </c>
      <c r="J8" s="26" t="s">
        <v>3</v>
      </c>
      <c r="K8" s="26"/>
      <c r="L8" s="26"/>
      <c r="M8" s="27"/>
    </row>
    <row r="9" customFormat="false" ht="60" hidden="false" customHeight="true" outlineLevel="0" collapsed="false">
      <c r="A9" s="22" t="n">
        <v>7</v>
      </c>
      <c r="B9" s="23" t="s">
        <v>11</v>
      </c>
      <c r="C9" s="32" t="s">
        <v>58</v>
      </c>
      <c r="D9" s="23" t="s">
        <v>69</v>
      </c>
      <c r="E9" s="30" t="s">
        <v>47</v>
      </c>
      <c r="F9" s="23" t="s">
        <v>70</v>
      </c>
      <c r="G9" s="23" t="s">
        <v>71</v>
      </c>
      <c r="H9" s="23" t="s">
        <v>72</v>
      </c>
      <c r="I9" s="23" t="s">
        <v>73</v>
      </c>
      <c r="J9" s="22" t="s">
        <v>3</v>
      </c>
      <c r="K9" s="22"/>
      <c r="L9" s="22"/>
      <c r="M9" s="23"/>
    </row>
    <row r="10" customFormat="false" ht="60" hidden="false" customHeight="true" outlineLevel="0" collapsed="false">
      <c r="A10" s="26" t="n">
        <v>8</v>
      </c>
      <c r="B10" s="27" t="s">
        <v>11</v>
      </c>
      <c r="C10" s="24" t="s">
        <v>74</v>
      </c>
      <c r="D10" s="27" t="s">
        <v>75</v>
      </c>
      <c r="E10" s="25" t="s">
        <v>35</v>
      </c>
      <c r="F10" s="27" t="s">
        <v>76</v>
      </c>
      <c r="G10" s="27" t="s">
        <v>77</v>
      </c>
      <c r="H10" s="27" t="s">
        <v>78</v>
      </c>
      <c r="I10" s="27" t="s">
        <v>79</v>
      </c>
      <c r="J10" s="26" t="s">
        <v>3</v>
      </c>
      <c r="K10" s="26"/>
      <c r="L10" s="26"/>
      <c r="M10" s="27"/>
    </row>
    <row r="11" customFormat="false" ht="60" hidden="false" customHeight="true" outlineLevel="0" collapsed="false">
      <c r="A11" s="22" t="n">
        <v>9</v>
      </c>
      <c r="B11" s="23" t="s">
        <v>11</v>
      </c>
      <c r="C11" s="33" t="s">
        <v>80</v>
      </c>
      <c r="D11" s="23" t="s">
        <v>81</v>
      </c>
      <c r="E11" s="30" t="s">
        <v>47</v>
      </c>
      <c r="F11" s="23" t="s">
        <v>82</v>
      </c>
      <c r="G11" s="23" t="s">
        <v>83</v>
      </c>
      <c r="H11" s="23" t="s">
        <v>84</v>
      </c>
      <c r="I11" s="23" t="s">
        <v>85</v>
      </c>
      <c r="J11" s="22" t="s">
        <v>3</v>
      </c>
      <c r="K11" s="22"/>
      <c r="L11" s="22"/>
      <c r="M11" s="23"/>
    </row>
    <row r="12" customFormat="false" ht="60" hidden="false" customHeight="true" outlineLevel="0" collapsed="false">
      <c r="A12" s="26" t="n">
        <v>10</v>
      </c>
      <c r="B12" s="27" t="s">
        <v>11</v>
      </c>
      <c r="C12" s="33" t="s">
        <v>80</v>
      </c>
      <c r="D12" s="27" t="s">
        <v>86</v>
      </c>
      <c r="E12" s="25" t="s">
        <v>35</v>
      </c>
      <c r="F12" s="27" t="s">
        <v>87</v>
      </c>
      <c r="G12" s="27" t="s">
        <v>88</v>
      </c>
      <c r="H12" s="27" t="s">
        <v>84</v>
      </c>
      <c r="I12" s="27" t="s">
        <v>89</v>
      </c>
      <c r="J12" s="26" t="s">
        <v>3</v>
      </c>
      <c r="K12" s="26"/>
      <c r="L12" s="26"/>
      <c r="M12" s="27"/>
    </row>
    <row r="13" customFormat="false" ht="60" hidden="false" customHeight="true" outlineLevel="0" collapsed="false">
      <c r="A13" s="22" t="n">
        <v>11</v>
      </c>
      <c r="B13" s="23" t="s">
        <v>11</v>
      </c>
      <c r="C13" s="34" t="s">
        <v>90</v>
      </c>
      <c r="D13" s="23" t="s">
        <v>91</v>
      </c>
      <c r="E13" s="28" t="s">
        <v>41</v>
      </c>
      <c r="F13" s="23" t="s">
        <v>92</v>
      </c>
      <c r="G13" s="23" t="s">
        <v>93</v>
      </c>
      <c r="H13" s="23" t="s">
        <v>94</v>
      </c>
      <c r="I13" s="29" t="s">
        <v>95</v>
      </c>
      <c r="J13" s="22" t="s">
        <v>3</v>
      </c>
      <c r="K13" s="22"/>
      <c r="L13" s="22"/>
      <c r="M13" s="23"/>
    </row>
    <row r="14" customFormat="false" ht="60" hidden="false" customHeight="true" outlineLevel="0" collapsed="false">
      <c r="A14" s="26" t="n">
        <v>12</v>
      </c>
      <c r="B14" s="27" t="s">
        <v>11</v>
      </c>
      <c r="C14" s="24" t="s">
        <v>96</v>
      </c>
      <c r="D14" s="27" t="s">
        <v>97</v>
      </c>
      <c r="E14" s="25" t="s">
        <v>35</v>
      </c>
      <c r="F14" s="27" t="s">
        <v>98</v>
      </c>
      <c r="G14" s="27" t="s">
        <v>99</v>
      </c>
      <c r="H14" s="27" t="s">
        <v>100</v>
      </c>
      <c r="I14" s="27" t="s">
        <v>101</v>
      </c>
      <c r="J14" s="26" t="s">
        <v>3</v>
      </c>
      <c r="K14" s="26"/>
      <c r="L14" s="26"/>
      <c r="M14" s="27"/>
    </row>
    <row r="15" customFormat="false" ht="60" hidden="false" customHeight="true" outlineLevel="0" collapsed="false">
      <c r="A15" s="22" t="n">
        <v>13</v>
      </c>
      <c r="B15" s="23" t="s">
        <v>14</v>
      </c>
      <c r="C15" s="33" t="s">
        <v>102</v>
      </c>
      <c r="D15" s="23" t="s">
        <v>103</v>
      </c>
      <c r="E15" s="25" t="s">
        <v>35</v>
      </c>
      <c r="F15" s="23" t="s">
        <v>104</v>
      </c>
      <c r="G15" s="23" t="s">
        <v>105</v>
      </c>
      <c r="H15" s="23" t="s">
        <v>106</v>
      </c>
      <c r="I15" s="23" t="s">
        <v>107</v>
      </c>
      <c r="J15" s="22" t="s">
        <v>3</v>
      </c>
      <c r="K15" s="22"/>
      <c r="L15" s="22"/>
      <c r="M15" s="23"/>
    </row>
    <row r="16" customFormat="false" ht="60" hidden="false" customHeight="true" outlineLevel="0" collapsed="false">
      <c r="A16" s="26" t="n">
        <v>14</v>
      </c>
      <c r="B16" s="27" t="s">
        <v>14</v>
      </c>
      <c r="C16" s="32" t="s">
        <v>108</v>
      </c>
      <c r="D16" s="27" t="s">
        <v>109</v>
      </c>
      <c r="E16" s="30" t="s">
        <v>47</v>
      </c>
      <c r="F16" s="27" t="s">
        <v>110</v>
      </c>
      <c r="G16" s="27" t="s">
        <v>111</v>
      </c>
      <c r="H16" s="27" t="s">
        <v>112</v>
      </c>
      <c r="I16" s="27" t="s">
        <v>113</v>
      </c>
      <c r="J16" s="26" t="s">
        <v>3</v>
      </c>
      <c r="K16" s="26"/>
      <c r="L16" s="26"/>
      <c r="M16" s="27"/>
    </row>
    <row r="17" customFormat="false" ht="60" hidden="false" customHeight="true" outlineLevel="0" collapsed="false">
      <c r="A17" s="22" t="n">
        <v>15</v>
      </c>
      <c r="B17" s="23" t="s">
        <v>14</v>
      </c>
      <c r="C17" s="32" t="s">
        <v>108</v>
      </c>
      <c r="D17" s="23" t="s">
        <v>114</v>
      </c>
      <c r="E17" s="30" t="s">
        <v>47</v>
      </c>
      <c r="F17" s="23" t="s">
        <v>115</v>
      </c>
      <c r="G17" s="23" t="s">
        <v>111</v>
      </c>
      <c r="H17" s="23" t="s">
        <v>112</v>
      </c>
      <c r="I17" s="23" t="s">
        <v>116</v>
      </c>
      <c r="J17" s="22" t="s">
        <v>3</v>
      </c>
      <c r="K17" s="22"/>
      <c r="L17" s="22"/>
      <c r="M17" s="23"/>
    </row>
    <row r="18" customFormat="false" ht="60" hidden="false" customHeight="true" outlineLevel="0" collapsed="false">
      <c r="A18" s="26" t="n">
        <v>16</v>
      </c>
      <c r="B18" s="27" t="s">
        <v>14</v>
      </c>
      <c r="C18" s="32" t="s">
        <v>108</v>
      </c>
      <c r="D18" s="27" t="s">
        <v>117</v>
      </c>
      <c r="E18" s="30" t="s">
        <v>47</v>
      </c>
      <c r="F18" s="27" t="s">
        <v>118</v>
      </c>
      <c r="G18" s="27" t="s">
        <v>119</v>
      </c>
      <c r="H18" s="27" t="s">
        <v>120</v>
      </c>
      <c r="I18" s="27" t="s">
        <v>121</v>
      </c>
      <c r="J18" s="26" t="s">
        <v>3</v>
      </c>
      <c r="K18" s="26"/>
      <c r="L18" s="26"/>
      <c r="M18" s="27"/>
    </row>
    <row r="19" customFormat="false" ht="60" hidden="false" customHeight="true" outlineLevel="0" collapsed="false">
      <c r="A19" s="22" t="n">
        <v>17</v>
      </c>
      <c r="B19" s="23" t="s">
        <v>14</v>
      </c>
      <c r="C19" s="33" t="s">
        <v>122</v>
      </c>
      <c r="D19" s="23" t="s">
        <v>123</v>
      </c>
      <c r="E19" s="30" t="s">
        <v>47</v>
      </c>
      <c r="F19" s="23" t="s">
        <v>124</v>
      </c>
      <c r="G19" s="23" t="s">
        <v>125</v>
      </c>
      <c r="H19" s="23" t="s">
        <v>126</v>
      </c>
      <c r="I19" s="23" t="s">
        <v>127</v>
      </c>
      <c r="J19" s="22" t="s">
        <v>3</v>
      </c>
      <c r="K19" s="22"/>
      <c r="L19" s="22"/>
      <c r="M19" s="23"/>
    </row>
    <row r="20" customFormat="false" ht="60" hidden="false" customHeight="true" outlineLevel="0" collapsed="false">
      <c r="A20" s="26" t="n">
        <v>18</v>
      </c>
      <c r="B20" s="27" t="s">
        <v>14</v>
      </c>
      <c r="C20" s="33" t="s">
        <v>122</v>
      </c>
      <c r="D20" s="27" t="s">
        <v>128</v>
      </c>
      <c r="E20" s="30" t="s">
        <v>47</v>
      </c>
      <c r="F20" s="27" t="s">
        <v>129</v>
      </c>
      <c r="G20" s="27" t="s">
        <v>130</v>
      </c>
      <c r="H20" s="27" t="s">
        <v>126</v>
      </c>
      <c r="I20" s="27" t="s">
        <v>131</v>
      </c>
      <c r="J20" s="26" t="s">
        <v>3</v>
      </c>
      <c r="K20" s="26"/>
      <c r="L20" s="26"/>
      <c r="M20" s="27"/>
    </row>
    <row r="21" customFormat="false" ht="60" hidden="false" customHeight="true" outlineLevel="0" collapsed="false">
      <c r="A21" s="22" t="n">
        <v>19</v>
      </c>
      <c r="B21" s="23" t="s">
        <v>12</v>
      </c>
      <c r="C21" s="24" t="s">
        <v>132</v>
      </c>
      <c r="D21" s="23" t="s">
        <v>133</v>
      </c>
      <c r="E21" s="30" t="s">
        <v>47</v>
      </c>
      <c r="F21" s="23" t="s">
        <v>134</v>
      </c>
      <c r="G21" s="23" t="s">
        <v>135</v>
      </c>
      <c r="H21" s="23" t="s">
        <v>136</v>
      </c>
      <c r="I21" s="23" t="s">
        <v>137</v>
      </c>
      <c r="J21" s="22" t="s">
        <v>3</v>
      </c>
      <c r="K21" s="22"/>
      <c r="L21" s="22"/>
      <c r="M21" s="23"/>
    </row>
    <row r="22" customFormat="false" ht="18" hidden="false" customHeight="true" outlineLevel="0" collapsed="false">
      <c r="A22" s="35" t="n">
        <v>20</v>
      </c>
      <c r="B22" s="36" t="s">
        <v>12</v>
      </c>
      <c r="C22" s="37" t="s">
        <v>138</v>
      </c>
      <c r="D22" s="36" t="s">
        <v>139</v>
      </c>
      <c r="E22" s="30" t="s">
        <v>47</v>
      </c>
      <c r="F22" s="36" t="s">
        <v>140</v>
      </c>
      <c r="G22" s="36" t="s">
        <v>141</v>
      </c>
      <c r="H22" s="36" t="s">
        <v>142</v>
      </c>
      <c r="I22" s="36"/>
      <c r="J22" s="35" t="s">
        <v>3</v>
      </c>
      <c r="K22" s="35"/>
      <c r="L22" s="35"/>
      <c r="M22" s="36"/>
    </row>
    <row r="23" customFormat="false" ht="18" hidden="false" customHeight="true" outlineLevel="0" collapsed="false">
      <c r="A23" s="35" t="n">
        <v>21</v>
      </c>
      <c r="B23" s="36" t="s">
        <v>12</v>
      </c>
      <c r="C23" s="37" t="s">
        <v>138</v>
      </c>
      <c r="D23" s="36" t="s">
        <v>143</v>
      </c>
      <c r="E23" s="30" t="s">
        <v>47</v>
      </c>
      <c r="F23" s="36" t="s">
        <v>144</v>
      </c>
      <c r="G23" s="36" t="s">
        <v>145</v>
      </c>
      <c r="H23" s="36" t="s">
        <v>142</v>
      </c>
      <c r="I23" s="36"/>
      <c r="J23" s="35" t="s">
        <v>3</v>
      </c>
      <c r="K23" s="35"/>
      <c r="L23" s="35"/>
      <c r="M23" s="36"/>
    </row>
    <row r="24" customFormat="false" ht="18" hidden="false" customHeight="true" outlineLevel="0" collapsed="false">
      <c r="A24" s="35" t="n">
        <v>22</v>
      </c>
      <c r="B24" s="36" t="s">
        <v>12</v>
      </c>
      <c r="C24" s="37" t="s">
        <v>138</v>
      </c>
      <c r="D24" s="36" t="s">
        <v>146</v>
      </c>
      <c r="E24" s="30" t="s">
        <v>47</v>
      </c>
      <c r="F24" s="36" t="s">
        <v>144</v>
      </c>
      <c r="G24" s="36" t="s">
        <v>147</v>
      </c>
      <c r="H24" s="36" t="s">
        <v>142</v>
      </c>
      <c r="I24" s="36"/>
      <c r="J24" s="35" t="s">
        <v>3</v>
      </c>
      <c r="K24" s="35"/>
      <c r="L24" s="35"/>
      <c r="M24" s="36"/>
    </row>
    <row r="25" customFormat="false" ht="18" hidden="false" customHeight="true" outlineLevel="0" collapsed="false">
      <c r="A25" s="35" t="n">
        <v>23</v>
      </c>
      <c r="B25" s="36" t="s">
        <v>12</v>
      </c>
      <c r="C25" s="37" t="s">
        <v>138</v>
      </c>
      <c r="D25" s="36" t="s">
        <v>148</v>
      </c>
      <c r="E25" s="30" t="s">
        <v>47</v>
      </c>
      <c r="F25" s="36" t="s">
        <v>144</v>
      </c>
      <c r="G25" s="36" t="s">
        <v>149</v>
      </c>
      <c r="H25" s="36" t="s">
        <v>142</v>
      </c>
      <c r="I25" s="36"/>
      <c r="J25" s="35" t="s">
        <v>3</v>
      </c>
      <c r="K25" s="35"/>
      <c r="L25" s="35"/>
      <c r="M25" s="36"/>
    </row>
    <row r="26" customFormat="false" ht="18" hidden="false" customHeight="true" outlineLevel="0" collapsed="false">
      <c r="A26" s="35" t="n">
        <v>24</v>
      </c>
      <c r="B26" s="36" t="s">
        <v>12</v>
      </c>
      <c r="C26" s="37" t="s">
        <v>138</v>
      </c>
      <c r="D26" s="36" t="s">
        <v>150</v>
      </c>
      <c r="E26" s="30" t="s">
        <v>47</v>
      </c>
      <c r="F26" s="36" t="s">
        <v>151</v>
      </c>
      <c r="G26" s="36" t="s">
        <v>152</v>
      </c>
      <c r="H26" s="36" t="s">
        <v>142</v>
      </c>
      <c r="I26" s="36"/>
      <c r="J26" s="35" t="s">
        <v>3</v>
      </c>
      <c r="K26" s="35"/>
      <c r="L26" s="35"/>
      <c r="M26" s="36"/>
    </row>
    <row r="27" customFormat="false" ht="18" hidden="false" customHeight="true" outlineLevel="0" collapsed="false">
      <c r="A27" s="35" t="n">
        <v>25</v>
      </c>
      <c r="B27" s="36" t="s">
        <v>12</v>
      </c>
      <c r="C27" s="37" t="s">
        <v>138</v>
      </c>
      <c r="D27" s="36" t="s">
        <v>153</v>
      </c>
      <c r="E27" s="30" t="s">
        <v>47</v>
      </c>
      <c r="F27" s="36" t="s">
        <v>144</v>
      </c>
      <c r="G27" s="36" t="s">
        <v>154</v>
      </c>
      <c r="H27" s="36" t="s">
        <v>142</v>
      </c>
      <c r="I27" s="36"/>
      <c r="J27" s="35" t="s">
        <v>3</v>
      </c>
      <c r="K27" s="35"/>
      <c r="L27" s="35"/>
      <c r="M27" s="36"/>
    </row>
    <row r="28" customFormat="false" ht="18" hidden="false" customHeight="true" outlineLevel="0" collapsed="false">
      <c r="A28" s="35" t="n">
        <v>26</v>
      </c>
      <c r="B28" s="36" t="s">
        <v>12</v>
      </c>
      <c r="C28" s="37" t="s">
        <v>138</v>
      </c>
      <c r="D28" s="36" t="s">
        <v>155</v>
      </c>
      <c r="E28" s="30" t="s">
        <v>47</v>
      </c>
      <c r="F28" s="36" t="s">
        <v>144</v>
      </c>
      <c r="G28" s="36" t="s">
        <v>156</v>
      </c>
      <c r="H28" s="36" t="s">
        <v>142</v>
      </c>
      <c r="I28" s="36"/>
      <c r="J28" s="35" t="s">
        <v>3</v>
      </c>
      <c r="K28" s="35"/>
      <c r="L28" s="35"/>
      <c r="M28" s="36"/>
    </row>
    <row r="29" customFormat="false" ht="18" hidden="false" customHeight="true" outlineLevel="0" collapsed="false">
      <c r="A29" s="35" t="n">
        <v>27</v>
      </c>
      <c r="B29" s="36" t="s">
        <v>12</v>
      </c>
      <c r="C29" s="37" t="s">
        <v>138</v>
      </c>
      <c r="D29" s="36" t="s">
        <v>157</v>
      </c>
      <c r="E29" s="30" t="s">
        <v>47</v>
      </c>
      <c r="F29" s="36" t="s">
        <v>144</v>
      </c>
      <c r="G29" s="36" t="s">
        <v>158</v>
      </c>
      <c r="H29" s="36" t="s">
        <v>142</v>
      </c>
      <c r="I29" s="36"/>
      <c r="J29" s="35" t="s">
        <v>3</v>
      </c>
      <c r="K29" s="35"/>
      <c r="L29" s="35"/>
      <c r="M29" s="36"/>
    </row>
    <row r="30" customFormat="false" ht="18" hidden="false" customHeight="true" outlineLevel="0" collapsed="false">
      <c r="A30" s="35" t="n">
        <v>28</v>
      </c>
      <c r="B30" s="36" t="s">
        <v>12</v>
      </c>
      <c r="C30" s="37" t="s">
        <v>138</v>
      </c>
      <c r="D30" s="36" t="s">
        <v>159</v>
      </c>
      <c r="E30" s="30" t="s">
        <v>47</v>
      </c>
      <c r="F30" s="36" t="s">
        <v>144</v>
      </c>
      <c r="G30" s="36" t="s">
        <v>160</v>
      </c>
      <c r="H30" s="36" t="s">
        <v>142</v>
      </c>
      <c r="I30" s="36"/>
      <c r="J30" s="35" t="s">
        <v>3</v>
      </c>
      <c r="K30" s="35"/>
      <c r="L30" s="35"/>
      <c r="M30" s="36"/>
    </row>
    <row r="31" customFormat="false" ht="18" hidden="false" customHeight="true" outlineLevel="0" collapsed="false">
      <c r="A31" s="35" t="n">
        <v>29</v>
      </c>
      <c r="B31" s="36" t="s">
        <v>12</v>
      </c>
      <c r="C31" s="37" t="s">
        <v>138</v>
      </c>
      <c r="D31" s="36" t="s">
        <v>161</v>
      </c>
      <c r="E31" s="30" t="s">
        <v>47</v>
      </c>
      <c r="F31" s="36" t="s">
        <v>144</v>
      </c>
      <c r="G31" s="36" t="s">
        <v>162</v>
      </c>
      <c r="H31" s="36" t="s">
        <v>142</v>
      </c>
      <c r="I31" s="36"/>
      <c r="J31" s="35" t="s">
        <v>3</v>
      </c>
      <c r="K31" s="35"/>
      <c r="L31" s="35"/>
      <c r="M31" s="36"/>
    </row>
    <row r="32" customFormat="false" ht="18" hidden="false" customHeight="true" outlineLevel="0" collapsed="false">
      <c r="A32" s="35" t="n">
        <v>30</v>
      </c>
      <c r="B32" s="36" t="s">
        <v>12</v>
      </c>
      <c r="C32" s="37" t="s">
        <v>138</v>
      </c>
      <c r="D32" s="36" t="s">
        <v>163</v>
      </c>
      <c r="E32" s="30" t="s">
        <v>47</v>
      </c>
      <c r="F32" s="36" t="s">
        <v>144</v>
      </c>
      <c r="G32" s="36" t="s">
        <v>164</v>
      </c>
      <c r="H32" s="36" t="s">
        <v>142</v>
      </c>
      <c r="I32" s="36"/>
      <c r="J32" s="35" t="s">
        <v>3</v>
      </c>
      <c r="K32" s="35"/>
      <c r="L32" s="35"/>
      <c r="M32" s="36"/>
    </row>
    <row r="33" customFormat="false" ht="18" hidden="false" customHeight="true" outlineLevel="0" collapsed="false">
      <c r="A33" s="35" t="n">
        <v>31</v>
      </c>
      <c r="B33" s="36" t="s">
        <v>12</v>
      </c>
      <c r="C33" s="37" t="s">
        <v>138</v>
      </c>
      <c r="D33" s="36" t="s">
        <v>165</v>
      </c>
      <c r="E33" s="30" t="s">
        <v>47</v>
      </c>
      <c r="F33" s="36" t="s">
        <v>144</v>
      </c>
      <c r="G33" s="36" t="s">
        <v>166</v>
      </c>
      <c r="H33" s="36" t="s">
        <v>142</v>
      </c>
      <c r="I33" s="36"/>
      <c r="J33" s="35" t="s">
        <v>3</v>
      </c>
      <c r="K33" s="35"/>
      <c r="L33" s="35"/>
      <c r="M33" s="36"/>
    </row>
    <row r="34" customFormat="false" ht="18" hidden="false" customHeight="true" outlineLevel="0" collapsed="false">
      <c r="A34" s="35" t="n">
        <v>32</v>
      </c>
      <c r="B34" s="36" t="s">
        <v>12</v>
      </c>
      <c r="C34" s="37" t="s">
        <v>138</v>
      </c>
      <c r="D34" s="36" t="s">
        <v>167</v>
      </c>
      <c r="E34" s="30" t="s">
        <v>47</v>
      </c>
      <c r="F34" s="36" t="s">
        <v>144</v>
      </c>
      <c r="G34" s="36" t="s">
        <v>168</v>
      </c>
      <c r="H34" s="36" t="s">
        <v>142</v>
      </c>
      <c r="I34" s="36"/>
      <c r="J34" s="35" t="s">
        <v>3</v>
      </c>
      <c r="K34" s="35"/>
      <c r="L34" s="35"/>
      <c r="M34" s="36"/>
    </row>
    <row r="35" customFormat="false" ht="18" hidden="false" customHeight="true" outlineLevel="0" collapsed="false">
      <c r="A35" s="35" t="n">
        <v>33</v>
      </c>
      <c r="B35" s="36" t="s">
        <v>12</v>
      </c>
      <c r="C35" s="37" t="s">
        <v>138</v>
      </c>
      <c r="D35" s="36" t="s">
        <v>169</v>
      </c>
      <c r="E35" s="30" t="s">
        <v>47</v>
      </c>
      <c r="F35" s="36" t="s">
        <v>144</v>
      </c>
      <c r="G35" s="36" t="s">
        <v>170</v>
      </c>
      <c r="H35" s="36" t="s">
        <v>142</v>
      </c>
      <c r="I35" s="36"/>
      <c r="J35" s="35" t="s">
        <v>3</v>
      </c>
      <c r="K35" s="35"/>
      <c r="L35" s="35"/>
      <c r="M35" s="36"/>
    </row>
    <row r="36" customFormat="false" ht="18" hidden="false" customHeight="true" outlineLevel="0" collapsed="false">
      <c r="A36" s="35" t="n">
        <v>34</v>
      </c>
      <c r="B36" s="36" t="s">
        <v>12</v>
      </c>
      <c r="C36" s="37" t="s">
        <v>138</v>
      </c>
      <c r="D36" s="36" t="s">
        <v>171</v>
      </c>
      <c r="E36" s="30" t="s">
        <v>47</v>
      </c>
      <c r="F36" s="36" t="s">
        <v>144</v>
      </c>
      <c r="G36" s="36" t="s">
        <v>172</v>
      </c>
      <c r="H36" s="36" t="s">
        <v>142</v>
      </c>
      <c r="I36" s="36"/>
      <c r="J36" s="35" t="s">
        <v>3</v>
      </c>
      <c r="K36" s="35"/>
      <c r="L36" s="35"/>
      <c r="M36" s="36"/>
    </row>
    <row r="37" customFormat="false" ht="18" hidden="false" customHeight="true" outlineLevel="0" collapsed="false">
      <c r="A37" s="35" t="n">
        <v>35</v>
      </c>
      <c r="B37" s="36" t="s">
        <v>12</v>
      </c>
      <c r="C37" s="37" t="s">
        <v>138</v>
      </c>
      <c r="D37" s="36" t="s">
        <v>173</v>
      </c>
      <c r="E37" s="30" t="s">
        <v>47</v>
      </c>
      <c r="F37" s="36" t="s">
        <v>144</v>
      </c>
      <c r="G37" s="36" t="s">
        <v>174</v>
      </c>
      <c r="H37" s="36" t="s">
        <v>142</v>
      </c>
      <c r="I37" s="36"/>
      <c r="J37" s="35" t="s">
        <v>3</v>
      </c>
      <c r="K37" s="35"/>
      <c r="L37" s="35"/>
      <c r="M37" s="36"/>
    </row>
    <row r="38" customFormat="false" ht="18" hidden="false" customHeight="true" outlineLevel="0" collapsed="false">
      <c r="A38" s="35" t="n">
        <v>36</v>
      </c>
      <c r="B38" s="36" t="s">
        <v>12</v>
      </c>
      <c r="C38" s="37" t="s">
        <v>138</v>
      </c>
      <c r="D38" s="36" t="s">
        <v>175</v>
      </c>
      <c r="E38" s="30" t="s">
        <v>47</v>
      </c>
      <c r="F38" s="36" t="s">
        <v>144</v>
      </c>
      <c r="G38" s="36" t="s">
        <v>176</v>
      </c>
      <c r="H38" s="36" t="s">
        <v>142</v>
      </c>
      <c r="I38" s="36"/>
      <c r="J38" s="35" t="s">
        <v>3</v>
      </c>
      <c r="K38" s="35"/>
      <c r="L38" s="35"/>
      <c r="M38" s="36"/>
    </row>
    <row r="39" customFormat="false" ht="18" hidden="false" customHeight="true" outlineLevel="0" collapsed="false">
      <c r="A39" s="35" t="n">
        <v>37</v>
      </c>
      <c r="B39" s="36" t="s">
        <v>12</v>
      </c>
      <c r="C39" s="37" t="s">
        <v>138</v>
      </c>
      <c r="D39" s="36" t="s">
        <v>177</v>
      </c>
      <c r="E39" s="30" t="s">
        <v>47</v>
      </c>
      <c r="F39" s="36" t="s">
        <v>144</v>
      </c>
      <c r="G39" s="36" t="s">
        <v>178</v>
      </c>
      <c r="H39" s="36" t="s">
        <v>142</v>
      </c>
      <c r="I39" s="36"/>
      <c r="J39" s="35" t="s">
        <v>3</v>
      </c>
      <c r="K39" s="35"/>
      <c r="L39" s="35"/>
      <c r="M39" s="36"/>
    </row>
    <row r="40" customFormat="false" ht="18" hidden="false" customHeight="true" outlineLevel="0" collapsed="false">
      <c r="A40" s="35" t="n">
        <v>38</v>
      </c>
      <c r="B40" s="36" t="s">
        <v>12</v>
      </c>
      <c r="C40" s="37" t="s">
        <v>138</v>
      </c>
      <c r="D40" s="36" t="s">
        <v>179</v>
      </c>
      <c r="E40" s="30" t="s">
        <v>47</v>
      </c>
      <c r="F40" s="36" t="s">
        <v>144</v>
      </c>
      <c r="G40" s="36" t="s">
        <v>180</v>
      </c>
      <c r="H40" s="36" t="s">
        <v>142</v>
      </c>
      <c r="I40" s="36"/>
      <c r="J40" s="35" t="s">
        <v>3</v>
      </c>
      <c r="K40" s="35"/>
      <c r="L40" s="35"/>
      <c r="M40" s="36"/>
    </row>
    <row r="41" customFormat="false" ht="18" hidden="false" customHeight="true" outlineLevel="0" collapsed="false">
      <c r="A41" s="35" t="n">
        <v>39</v>
      </c>
      <c r="B41" s="36" t="s">
        <v>12</v>
      </c>
      <c r="C41" s="37" t="s">
        <v>138</v>
      </c>
      <c r="D41" s="36" t="s">
        <v>181</v>
      </c>
      <c r="E41" s="30" t="s">
        <v>47</v>
      </c>
      <c r="F41" s="36" t="s">
        <v>144</v>
      </c>
      <c r="G41" s="36" t="s">
        <v>182</v>
      </c>
      <c r="H41" s="36" t="s">
        <v>142</v>
      </c>
      <c r="I41" s="36"/>
      <c r="J41" s="35" t="s">
        <v>3</v>
      </c>
      <c r="K41" s="35"/>
      <c r="L41" s="35"/>
      <c r="M41" s="36"/>
    </row>
    <row r="42" customFormat="false" ht="18" hidden="false" customHeight="true" outlineLevel="0" collapsed="false">
      <c r="A42" s="35" t="n">
        <v>40</v>
      </c>
      <c r="B42" s="36" t="s">
        <v>12</v>
      </c>
      <c r="C42" s="37" t="s">
        <v>138</v>
      </c>
      <c r="D42" s="36" t="s">
        <v>183</v>
      </c>
      <c r="E42" s="30" t="s">
        <v>47</v>
      </c>
      <c r="F42" s="36" t="s">
        <v>144</v>
      </c>
      <c r="G42" s="36" t="s">
        <v>184</v>
      </c>
      <c r="H42" s="36" t="s">
        <v>142</v>
      </c>
      <c r="I42" s="36"/>
      <c r="J42" s="35" t="s">
        <v>3</v>
      </c>
      <c r="K42" s="35"/>
      <c r="L42" s="35"/>
      <c r="M42" s="36"/>
    </row>
    <row r="43" customFormat="false" ht="18" hidden="false" customHeight="true" outlineLevel="0" collapsed="false">
      <c r="A43" s="35" t="n">
        <v>41</v>
      </c>
      <c r="B43" s="36" t="s">
        <v>12</v>
      </c>
      <c r="C43" s="37" t="s">
        <v>138</v>
      </c>
      <c r="D43" s="36" t="s">
        <v>185</v>
      </c>
      <c r="E43" s="30" t="s">
        <v>47</v>
      </c>
      <c r="F43" s="36" t="s">
        <v>144</v>
      </c>
      <c r="G43" s="36" t="s">
        <v>186</v>
      </c>
      <c r="H43" s="36" t="s">
        <v>142</v>
      </c>
      <c r="I43" s="36"/>
      <c r="J43" s="35" t="s">
        <v>3</v>
      </c>
      <c r="K43" s="35"/>
      <c r="L43" s="35"/>
      <c r="M43" s="36"/>
    </row>
    <row r="44" customFormat="false" ht="18" hidden="false" customHeight="true" outlineLevel="0" collapsed="false">
      <c r="A44" s="35" t="n">
        <v>42</v>
      </c>
      <c r="B44" s="36" t="s">
        <v>12</v>
      </c>
      <c r="C44" s="37" t="s">
        <v>138</v>
      </c>
      <c r="D44" s="36" t="s">
        <v>187</v>
      </c>
      <c r="E44" s="30" t="s">
        <v>47</v>
      </c>
      <c r="F44" s="36" t="s">
        <v>144</v>
      </c>
      <c r="G44" s="36" t="s">
        <v>188</v>
      </c>
      <c r="H44" s="36" t="s">
        <v>142</v>
      </c>
      <c r="I44" s="36"/>
      <c r="J44" s="35" t="s">
        <v>3</v>
      </c>
      <c r="K44" s="35"/>
      <c r="L44" s="35"/>
      <c r="M44" s="36"/>
    </row>
    <row r="45" customFormat="false" ht="18" hidden="false" customHeight="true" outlineLevel="0" collapsed="false">
      <c r="A45" s="35" t="n">
        <v>43</v>
      </c>
      <c r="B45" s="36" t="s">
        <v>12</v>
      </c>
      <c r="C45" s="37" t="s">
        <v>138</v>
      </c>
      <c r="D45" s="36" t="s">
        <v>189</v>
      </c>
      <c r="E45" s="30" t="s">
        <v>47</v>
      </c>
      <c r="F45" s="36" t="s">
        <v>144</v>
      </c>
      <c r="G45" s="36" t="s">
        <v>190</v>
      </c>
      <c r="H45" s="36" t="s">
        <v>142</v>
      </c>
      <c r="I45" s="36"/>
      <c r="J45" s="35" t="s">
        <v>3</v>
      </c>
      <c r="K45" s="35"/>
      <c r="L45" s="35"/>
      <c r="M45" s="36"/>
    </row>
    <row r="46" customFormat="false" ht="18" hidden="false" customHeight="true" outlineLevel="0" collapsed="false">
      <c r="A46" s="35" t="n">
        <v>44</v>
      </c>
      <c r="B46" s="36" t="s">
        <v>12</v>
      </c>
      <c r="C46" s="37" t="s">
        <v>138</v>
      </c>
      <c r="D46" s="36" t="s">
        <v>191</v>
      </c>
      <c r="E46" s="30" t="s">
        <v>47</v>
      </c>
      <c r="F46" s="36" t="s">
        <v>144</v>
      </c>
      <c r="G46" s="36" t="s">
        <v>192</v>
      </c>
      <c r="H46" s="36" t="s">
        <v>142</v>
      </c>
      <c r="I46" s="36"/>
      <c r="J46" s="35" t="s">
        <v>3</v>
      </c>
      <c r="K46" s="35"/>
      <c r="L46" s="35"/>
      <c r="M46" s="36"/>
    </row>
    <row r="47" customFormat="false" ht="18" hidden="false" customHeight="true" outlineLevel="0" collapsed="false">
      <c r="A47" s="35" t="n">
        <v>45</v>
      </c>
      <c r="B47" s="36" t="s">
        <v>12</v>
      </c>
      <c r="C47" s="37" t="s">
        <v>138</v>
      </c>
      <c r="D47" s="36" t="s">
        <v>193</v>
      </c>
      <c r="E47" s="30" t="s">
        <v>47</v>
      </c>
      <c r="F47" s="36" t="s">
        <v>144</v>
      </c>
      <c r="G47" s="36" t="s">
        <v>194</v>
      </c>
      <c r="H47" s="36" t="s">
        <v>142</v>
      </c>
      <c r="I47" s="36"/>
      <c r="J47" s="35" t="s">
        <v>3</v>
      </c>
      <c r="K47" s="35"/>
      <c r="L47" s="35"/>
      <c r="M47" s="36"/>
    </row>
    <row r="48" customFormat="false" ht="18" hidden="false" customHeight="true" outlineLevel="0" collapsed="false">
      <c r="A48" s="35" t="n">
        <v>46</v>
      </c>
      <c r="B48" s="36" t="s">
        <v>12</v>
      </c>
      <c r="C48" s="37" t="s">
        <v>138</v>
      </c>
      <c r="D48" s="36" t="s">
        <v>195</v>
      </c>
      <c r="E48" s="30" t="s">
        <v>47</v>
      </c>
      <c r="F48" s="36" t="s">
        <v>144</v>
      </c>
      <c r="G48" s="36" t="s">
        <v>196</v>
      </c>
      <c r="H48" s="36" t="s">
        <v>142</v>
      </c>
      <c r="I48" s="36"/>
      <c r="J48" s="35" t="s">
        <v>3</v>
      </c>
      <c r="K48" s="35"/>
      <c r="L48" s="35"/>
      <c r="M48" s="36"/>
    </row>
    <row r="49" customFormat="false" ht="60" hidden="false" customHeight="true" outlineLevel="0" collapsed="false">
      <c r="A49" s="22" t="n">
        <v>47</v>
      </c>
      <c r="B49" s="23" t="s">
        <v>12</v>
      </c>
      <c r="C49" s="32" t="s">
        <v>197</v>
      </c>
      <c r="D49" s="23" t="s">
        <v>198</v>
      </c>
      <c r="E49" s="28" t="s">
        <v>41</v>
      </c>
      <c r="F49" s="23" t="s">
        <v>199</v>
      </c>
      <c r="G49" s="23" t="s">
        <v>200</v>
      </c>
      <c r="H49" s="23" t="s">
        <v>201</v>
      </c>
      <c r="I49" s="29" t="s">
        <v>202</v>
      </c>
      <c r="J49" s="22" t="s">
        <v>3</v>
      </c>
      <c r="K49" s="22"/>
      <c r="L49" s="22"/>
      <c r="M49" s="23"/>
    </row>
    <row r="50" customFormat="false" ht="60" hidden="false" customHeight="true" outlineLevel="0" collapsed="false">
      <c r="A50" s="26" t="n">
        <v>48</v>
      </c>
      <c r="B50" s="27" t="s">
        <v>13</v>
      </c>
      <c r="C50" s="32" t="s">
        <v>197</v>
      </c>
      <c r="D50" s="27" t="s">
        <v>203</v>
      </c>
      <c r="E50" s="30" t="s">
        <v>47</v>
      </c>
      <c r="F50" s="27" t="s">
        <v>204</v>
      </c>
      <c r="G50" s="27" t="s">
        <v>205</v>
      </c>
      <c r="H50" s="27" t="s">
        <v>206</v>
      </c>
      <c r="I50" s="27" t="s">
        <v>207</v>
      </c>
      <c r="J50" s="26" t="s">
        <v>3</v>
      </c>
      <c r="K50" s="26"/>
      <c r="L50" s="26"/>
      <c r="M50" s="27"/>
    </row>
  </sheetData>
  <mergeCells count="1">
    <mergeCell ref="A1:M1"/>
  </mergeCells>
  <conditionalFormatting sqref="A3:M50">
    <cfRule type="expression" priority="2" aboveAverage="0" equalAverage="0" bottom="0" percent="0" rank="0" text="" dxfId="0">
      <formula>$J3="Verified"</formula>
    </cfRule>
    <cfRule type="expression" priority="3" aboveAverage="0" equalAverage="0" bottom="0" percent="0" rank="0" text="" dxfId="1">
      <formula>$J3="In Progress"</formula>
    </cfRule>
    <cfRule type="expression" priority="4" aboveAverage="0" equalAverage="0" bottom="0" percent="0" rank="0" text="" dxfId="2">
      <formula>$J3="Drift Detected"</formula>
    </cfRule>
    <cfRule type="expression" priority="5" aboveAverage="0" equalAverage="0" bottom="0" percent="0" rank="0" text="" dxfId="3">
      <formula>$J3="N/A"</formula>
    </cfRule>
  </conditionalFormatting>
  <dataValidations count="1">
    <dataValidation allowBlank="true" errorStyle="stop" operator="between" showDropDown="false" showErrorMessage="false" showInputMessage="false" sqref="J3:J50" type="list">
      <formula1>"Not Verified,In Progress,Verified,Drift Detected,N/A"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3"/>
  </cols>
  <sheetData>
    <row r="1" customFormat="false" ht="24" hidden="false" customHeight="true" outlineLevel="0" collapsed="false">
      <c r="A1" s="20" t="s">
        <v>208</v>
      </c>
      <c r="B1" s="20"/>
      <c r="C1" s="20"/>
      <c r="D1" s="20"/>
      <c r="E1" s="20"/>
    </row>
    <row r="2" customFormat="false" ht="18" hidden="false" customHeight="true" outlineLevel="0" collapsed="false">
      <c r="A2" s="38" t="s">
        <v>21</v>
      </c>
      <c r="B2" s="38" t="s">
        <v>209</v>
      </c>
      <c r="C2" s="38" t="s">
        <v>210</v>
      </c>
      <c r="D2" s="38" t="s">
        <v>211</v>
      </c>
      <c r="E2" s="38" t="s">
        <v>29</v>
      </c>
    </row>
    <row r="3" customFormat="false" ht="15.75" hidden="false" customHeight="true" outlineLevel="0" collapsed="false">
      <c r="A3" s="39" t="n">
        <v>1</v>
      </c>
      <c r="B3" s="40" t="s">
        <v>139</v>
      </c>
      <c r="C3" s="40" t="s">
        <v>212</v>
      </c>
      <c r="D3" s="39" t="s">
        <v>213</v>
      </c>
      <c r="E3" s="39" t="s">
        <v>214</v>
      </c>
    </row>
    <row r="4" customFormat="false" ht="15.75" hidden="false" customHeight="true" outlineLevel="0" collapsed="false">
      <c r="A4" s="41" t="n">
        <v>2</v>
      </c>
      <c r="B4" s="42" t="s">
        <v>143</v>
      </c>
      <c r="C4" s="42" t="s">
        <v>215</v>
      </c>
      <c r="D4" s="41" t="s">
        <v>213</v>
      </c>
      <c r="E4" s="41" t="s">
        <v>214</v>
      </c>
    </row>
    <row r="5" customFormat="false" ht="15.75" hidden="false" customHeight="true" outlineLevel="0" collapsed="false">
      <c r="A5" s="39" t="n">
        <v>3</v>
      </c>
      <c r="B5" s="40" t="s">
        <v>146</v>
      </c>
      <c r="C5" s="40" t="s">
        <v>216</v>
      </c>
      <c r="D5" s="39" t="s">
        <v>213</v>
      </c>
      <c r="E5" s="39" t="s">
        <v>214</v>
      </c>
    </row>
    <row r="6" customFormat="false" ht="15.75" hidden="false" customHeight="true" outlineLevel="0" collapsed="false">
      <c r="A6" s="41" t="n">
        <v>4</v>
      </c>
      <c r="B6" s="42" t="s">
        <v>148</v>
      </c>
      <c r="C6" s="42" t="s">
        <v>217</v>
      </c>
      <c r="D6" s="41" t="s">
        <v>213</v>
      </c>
      <c r="E6" s="41" t="s">
        <v>214</v>
      </c>
    </row>
    <row r="7" customFormat="false" ht="15.75" hidden="false" customHeight="true" outlineLevel="0" collapsed="false">
      <c r="A7" s="39" t="n">
        <v>5</v>
      </c>
      <c r="B7" s="40" t="s">
        <v>150</v>
      </c>
      <c r="C7" s="40" t="s">
        <v>218</v>
      </c>
      <c r="D7" s="39" t="s">
        <v>213</v>
      </c>
      <c r="E7" s="39" t="s">
        <v>214</v>
      </c>
    </row>
    <row r="8" customFormat="false" ht="15.75" hidden="false" customHeight="true" outlineLevel="0" collapsed="false">
      <c r="A8" s="41" t="n">
        <v>6</v>
      </c>
      <c r="B8" s="42" t="s">
        <v>153</v>
      </c>
      <c r="C8" s="42" t="s">
        <v>219</v>
      </c>
      <c r="D8" s="41" t="s">
        <v>213</v>
      </c>
      <c r="E8" s="41" t="s">
        <v>214</v>
      </c>
    </row>
    <row r="9" customFormat="false" ht="15.75" hidden="false" customHeight="true" outlineLevel="0" collapsed="false">
      <c r="A9" s="39" t="n">
        <v>7</v>
      </c>
      <c r="B9" s="40" t="s">
        <v>155</v>
      </c>
      <c r="C9" s="40" t="s">
        <v>220</v>
      </c>
      <c r="D9" s="39" t="s">
        <v>213</v>
      </c>
      <c r="E9" s="39" t="s">
        <v>214</v>
      </c>
    </row>
    <row r="10" customFormat="false" ht="15.75" hidden="false" customHeight="true" outlineLevel="0" collapsed="false">
      <c r="A10" s="41" t="n">
        <v>8</v>
      </c>
      <c r="B10" s="42" t="s">
        <v>157</v>
      </c>
      <c r="C10" s="42" t="s">
        <v>221</v>
      </c>
      <c r="D10" s="41" t="s">
        <v>213</v>
      </c>
      <c r="E10" s="41" t="s">
        <v>214</v>
      </c>
    </row>
    <row r="11" customFormat="false" ht="15.75" hidden="false" customHeight="true" outlineLevel="0" collapsed="false">
      <c r="A11" s="39" t="n">
        <v>9</v>
      </c>
      <c r="B11" s="40" t="s">
        <v>159</v>
      </c>
      <c r="C11" s="40" t="s">
        <v>222</v>
      </c>
      <c r="D11" s="39" t="s">
        <v>213</v>
      </c>
      <c r="E11" s="39" t="s">
        <v>214</v>
      </c>
    </row>
    <row r="12" customFormat="false" ht="15.75" hidden="false" customHeight="true" outlineLevel="0" collapsed="false">
      <c r="A12" s="41" t="n">
        <v>10</v>
      </c>
      <c r="B12" s="42" t="s">
        <v>161</v>
      </c>
      <c r="C12" s="42" t="s">
        <v>223</v>
      </c>
      <c r="D12" s="41" t="s">
        <v>213</v>
      </c>
      <c r="E12" s="41" t="s">
        <v>214</v>
      </c>
    </row>
    <row r="13" customFormat="false" ht="15.75" hidden="false" customHeight="true" outlineLevel="0" collapsed="false">
      <c r="A13" s="39" t="n">
        <v>11</v>
      </c>
      <c r="B13" s="40" t="s">
        <v>163</v>
      </c>
      <c r="C13" s="40" t="s">
        <v>224</v>
      </c>
      <c r="D13" s="39" t="s">
        <v>213</v>
      </c>
      <c r="E13" s="39" t="s">
        <v>214</v>
      </c>
    </row>
    <row r="14" customFormat="false" ht="15.75" hidden="false" customHeight="true" outlineLevel="0" collapsed="false">
      <c r="A14" s="41" t="n">
        <v>12</v>
      </c>
      <c r="B14" s="42" t="s">
        <v>165</v>
      </c>
      <c r="C14" s="42" t="s">
        <v>225</v>
      </c>
      <c r="D14" s="41" t="s">
        <v>213</v>
      </c>
      <c r="E14" s="41" t="s">
        <v>214</v>
      </c>
    </row>
    <row r="15" customFormat="false" ht="15.75" hidden="false" customHeight="true" outlineLevel="0" collapsed="false">
      <c r="A15" s="39" t="n">
        <v>13</v>
      </c>
      <c r="B15" s="40" t="s">
        <v>167</v>
      </c>
      <c r="C15" s="40" t="s">
        <v>226</v>
      </c>
      <c r="D15" s="39" t="s">
        <v>213</v>
      </c>
      <c r="E15" s="39" t="s">
        <v>214</v>
      </c>
    </row>
    <row r="16" customFormat="false" ht="15.75" hidden="false" customHeight="true" outlineLevel="0" collapsed="false">
      <c r="A16" s="41" t="n">
        <v>14</v>
      </c>
      <c r="B16" s="42" t="s">
        <v>169</v>
      </c>
      <c r="C16" s="42" t="s">
        <v>227</v>
      </c>
      <c r="D16" s="41" t="s">
        <v>213</v>
      </c>
      <c r="E16" s="41" t="s">
        <v>214</v>
      </c>
    </row>
    <row r="17" customFormat="false" ht="15.75" hidden="false" customHeight="true" outlineLevel="0" collapsed="false">
      <c r="A17" s="39" t="n">
        <v>15</v>
      </c>
      <c r="B17" s="40" t="s">
        <v>171</v>
      </c>
      <c r="C17" s="40" t="s">
        <v>228</v>
      </c>
      <c r="D17" s="39" t="s">
        <v>213</v>
      </c>
      <c r="E17" s="39" t="s">
        <v>214</v>
      </c>
    </row>
    <row r="18" customFormat="false" ht="15.75" hidden="false" customHeight="true" outlineLevel="0" collapsed="false">
      <c r="A18" s="41" t="n">
        <v>16</v>
      </c>
      <c r="B18" s="42" t="s">
        <v>173</v>
      </c>
      <c r="C18" s="42" t="s">
        <v>229</v>
      </c>
      <c r="D18" s="41" t="s">
        <v>213</v>
      </c>
      <c r="E18" s="41" t="s">
        <v>214</v>
      </c>
    </row>
    <row r="19" customFormat="false" ht="15.75" hidden="false" customHeight="true" outlineLevel="0" collapsed="false">
      <c r="A19" s="39" t="n">
        <v>17</v>
      </c>
      <c r="B19" s="40" t="s">
        <v>175</v>
      </c>
      <c r="C19" s="40" t="s">
        <v>230</v>
      </c>
      <c r="D19" s="39" t="s">
        <v>213</v>
      </c>
      <c r="E19" s="39" t="s">
        <v>214</v>
      </c>
    </row>
    <row r="20" customFormat="false" ht="15.75" hidden="false" customHeight="true" outlineLevel="0" collapsed="false">
      <c r="A20" s="41" t="n">
        <v>18</v>
      </c>
      <c r="B20" s="42" t="s">
        <v>177</v>
      </c>
      <c r="C20" s="42" t="s">
        <v>231</v>
      </c>
      <c r="D20" s="41" t="s">
        <v>213</v>
      </c>
      <c r="E20" s="41" t="s">
        <v>214</v>
      </c>
    </row>
    <row r="21" customFormat="false" ht="15.75" hidden="false" customHeight="true" outlineLevel="0" collapsed="false">
      <c r="A21" s="39" t="n">
        <v>19</v>
      </c>
      <c r="B21" s="40" t="s">
        <v>179</v>
      </c>
      <c r="C21" s="40" t="s">
        <v>232</v>
      </c>
      <c r="D21" s="39" t="s">
        <v>213</v>
      </c>
      <c r="E21" s="39" t="s">
        <v>214</v>
      </c>
    </row>
    <row r="22" customFormat="false" ht="15.75" hidden="false" customHeight="true" outlineLevel="0" collapsed="false">
      <c r="A22" s="41" t="n">
        <v>20</v>
      </c>
      <c r="B22" s="42" t="s">
        <v>181</v>
      </c>
      <c r="C22" s="42" t="s">
        <v>233</v>
      </c>
      <c r="D22" s="41" t="s">
        <v>213</v>
      </c>
      <c r="E22" s="41" t="s">
        <v>214</v>
      </c>
    </row>
    <row r="23" customFormat="false" ht="15.75" hidden="false" customHeight="true" outlineLevel="0" collapsed="false">
      <c r="A23" s="39" t="n">
        <v>21</v>
      </c>
      <c r="B23" s="40" t="s">
        <v>183</v>
      </c>
      <c r="C23" s="40" t="s">
        <v>234</v>
      </c>
      <c r="D23" s="39" t="s">
        <v>213</v>
      </c>
      <c r="E23" s="39" t="s">
        <v>214</v>
      </c>
    </row>
    <row r="24" customFormat="false" ht="15.75" hidden="false" customHeight="true" outlineLevel="0" collapsed="false">
      <c r="A24" s="41" t="n">
        <v>22</v>
      </c>
      <c r="B24" s="42" t="s">
        <v>185</v>
      </c>
      <c r="C24" s="42" t="s">
        <v>235</v>
      </c>
      <c r="D24" s="41" t="s">
        <v>213</v>
      </c>
      <c r="E24" s="41" t="s">
        <v>214</v>
      </c>
    </row>
    <row r="25" customFormat="false" ht="15.75" hidden="false" customHeight="true" outlineLevel="0" collapsed="false">
      <c r="A25" s="39" t="n">
        <v>23</v>
      </c>
      <c r="B25" s="40" t="s">
        <v>187</v>
      </c>
      <c r="C25" s="40" t="s">
        <v>236</v>
      </c>
      <c r="D25" s="39" t="s">
        <v>213</v>
      </c>
      <c r="E25" s="39" t="s">
        <v>214</v>
      </c>
    </row>
    <row r="26" customFormat="false" ht="15.75" hidden="false" customHeight="true" outlineLevel="0" collapsed="false">
      <c r="A26" s="41" t="n">
        <v>24</v>
      </c>
      <c r="B26" s="42" t="s">
        <v>189</v>
      </c>
      <c r="C26" s="42" t="s">
        <v>237</v>
      </c>
      <c r="D26" s="41" t="s">
        <v>213</v>
      </c>
      <c r="E26" s="41" t="s">
        <v>214</v>
      </c>
    </row>
    <row r="27" customFormat="false" ht="15.75" hidden="false" customHeight="true" outlineLevel="0" collapsed="false">
      <c r="A27" s="39" t="n">
        <v>25</v>
      </c>
      <c r="B27" s="40" t="s">
        <v>191</v>
      </c>
      <c r="C27" s="40" t="s">
        <v>238</v>
      </c>
      <c r="D27" s="39" t="s">
        <v>213</v>
      </c>
      <c r="E27" s="39" t="s">
        <v>214</v>
      </c>
    </row>
    <row r="28" customFormat="false" ht="15.75" hidden="false" customHeight="true" outlineLevel="0" collapsed="false">
      <c r="A28" s="41" t="n">
        <v>26</v>
      </c>
      <c r="B28" s="42" t="s">
        <v>193</v>
      </c>
      <c r="C28" s="42" t="s">
        <v>239</v>
      </c>
      <c r="D28" s="41" t="s">
        <v>213</v>
      </c>
      <c r="E28" s="41" t="s">
        <v>214</v>
      </c>
    </row>
    <row r="29" customFormat="false" ht="15.75" hidden="false" customHeight="true" outlineLevel="0" collapsed="false">
      <c r="A29" s="39" t="n">
        <v>27</v>
      </c>
      <c r="B29" s="40" t="s">
        <v>195</v>
      </c>
      <c r="C29" s="40" t="s">
        <v>240</v>
      </c>
      <c r="D29" s="39" t="s">
        <v>213</v>
      </c>
      <c r="E29" s="39" t="s">
        <v>214</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36"/>
    <col collapsed="false" customWidth="true" hidden="false" outlineLevel="0" max="5" min="5" style="0" width="12"/>
    <col collapsed="false" customWidth="true" hidden="false" outlineLevel="0" max="6" min="6" style="0" width="44"/>
    <col collapsed="false" customWidth="true" hidden="false" outlineLevel="0" max="7" min="7" style="0" width="16"/>
  </cols>
  <sheetData>
    <row r="1" customFormat="false" ht="24" hidden="false" customHeight="true" outlineLevel="0" collapsed="false">
      <c r="A1" s="43" t="s">
        <v>241</v>
      </c>
      <c r="B1" s="43"/>
      <c r="C1" s="43"/>
      <c r="D1" s="43"/>
      <c r="E1" s="43"/>
      <c r="F1" s="43"/>
      <c r="G1" s="43"/>
    </row>
    <row r="2" customFormat="false" ht="19.5" hidden="false" customHeight="true" outlineLevel="0" collapsed="false">
      <c r="A2" s="44" t="s">
        <v>21</v>
      </c>
      <c r="B2" s="44" t="s">
        <v>8</v>
      </c>
      <c r="C2" s="44" t="s">
        <v>22</v>
      </c>
      <c r="D2" s="44" t="s">
        <v>23</v>
      </c>
      <c r="E2" s="44" t="s">
        <v>24</v>
      </c>
      <c r="F2" s="44" t="s">
        <v>242</v>
      </c>
      <c r="G2" s="44" t="s">
        <v>243</v>
      </c>
    </row>
    <row r="3" customFormat="false" ht="18" hidden="false" customHeight="true" outlineLevel="0" collapsed="false">
      <c r="A3" s="45"/>
      <c r="B3" s="45"/>
      <c r="C3" s="45"/>
      <c r="D3" s="45"/>
      <c r="E3" s="45"/>
      <c r="F3" s="45"/>
      <c r="G3" s="45"/>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70"/>
    <col collapsed="false" customWidth="true" hidden="false" outlineLevel="0" max="4" min="4" style="0" width="3"/>
  </cols>
  <sheetData>
    <row r="1" customFormat="false" ht="27.75" hidden="false" customHeight="true" outlineLevel="0" collapsed="false">
      <c r="B1" s="46" t="s">
        <v>244</v>
      </c>
      <c r="C1" s="46"/>
    </row>
    <row r="2" customFormat="false" ht="19.5" hidden="false" customHeight="true" outlineLevel="0" collapsed="false">
      <c r="B2" s="47" t="s">
        <v>245</v>
      </c>
      <c r="C2" s="47"/>
    </row>
    <row r="3" customFormat="false" ht="42" hidden="false" customHeight="true" outlineLevel="0" collapsed="false">
      <c r="B3" s="48" t="s">
        <v>246</v>
      </c>
      <c r="C3" s="27" t="s">
        <v>247</v>
      </c>
    </row>
    <row r="4" customFormat="false" ht="42" hidden="false" customHeight="true" outlineLevel="0" collapsed="false">
      <c r="B4" s="33" t="s">
        <v>248</v>
      </c>
      <c r="C4" s="23" t="s">
        <v>249</v>
      </c>
    </row>
    <row r="5" customFormat="false" ht="7.5" hidden="false" customHeight="true" outlineLevel="0" collapsed="false"/>
    <row r="6" customFormat="false" ht="19.5" hidden="false" customHeight="true" outlineLevel="0" collapsed="false">
      <c r="B6" s="47" t="s">
        <v>250</v>
      </c>
      <c r="C6" s="47"/>
    </row>
    <row r="7" customFormat="false" ht="42" hidden="false" customHeight="true" outlineLevel="0" collapsed="false">
      <c r="B7" s="48" t="s">
        <v>251</v>
      </c>
      <c r="C7" s="27" t="s">
        <v>252</v>
      </c>
    </row>
    <row r="8" customFormat="false" ht="42" hidden="false" customHeight="true" outlineLevel="0" collapsed="false">
      <c r="B8" s="33" t="s">
        <v>253</v>
      </c>
      <c r="C8" s="23" t="s">
        <v>254</v>
      </c>
    </row>
    <row r="9" customFormat="false" ht="42" hidden="false" customHeight="true" outlineLevel="0" collapsed="false">
      <c r="B9" s="48" t="s">
        <v>255</v>
      </c>
      <c r="C9" s="27" t="s">
        <v>256</v>
      </c>
    </row>
    <row r="10" customFormat="false" ht="42" hidden="false" customHeight="true" outlineLevel="0" collapsed="false">
      <c r="B10" s="33" t="s">
        <v>257</v>
      </c>
      <c r="C10" s="23" t="s">
        <v>258</v>
      </c>
    </row>
    <row r="11" customFormat="false" ht="42" hidden="false" customHeight="true" outlineLevel="0" collapsed="false">
      <c r="B11" s="48" t="s">
        <v>259</v>
      </c>
      <c r="C11" s="27" t="s">
        <v>260</v>
      </c>
    </row>
    <row r="12" customFormat="false" ht="7.5" hidden="false" customHeight="true" outlineLevel="0" collapsed="false"/>
    <row r="13" customFormat="false" ht="19.5" hidden="false" customHeight="true" outlineLevel="0" collapsed="false">
      <c r="B13" s="47" t="s">
        <v>261</v>
      </c>
      <c r="C13" s="47"/>
    </row>
    <row r="14" customFormat="false" ht="42" hidden="false" customHeight="true" outlineLevel="0" collapsed="false">
      <c r="B14" s="49" t="s">
        <v>262</v>
      </c>
      <c r="C14" s="29" t="s">
        <v>263</v>
      </c>
    </row>
    <row r="15" customFormat="false" ht="42" hidden="false" customHeight="true" outlineLevel="0" collapsed="false">
      <c r="B15" s="49" t="s">
        <v>264</v>
      </c>
      <c r="C15" s="29" t="s">
        <v>265</v>
      </c>
    </row>
    <row r="16" customFormat="false" ht="42" hidden="false" customHeight="true" outlineLevel="0" collapsed="false">
      <c r="B16" s="50" t="s">
        <v>266</v>
      </c>
      <c r="C16" s="51" t="s">
        <v>267</v>
      </c>
    </row>
    <row r="17" customFormat="false" ht="42" hidden="false" customHeight="true" outlineLevel="0" collapsed="false">
      <c r="B17" s="50" t="s">
        <v>268</v>
      </c>
      <c r="C17" s="51" t="s">
        <v>269</v>
      </c>
    </row>
    <row r="18" customFormat="false" ht="42" hidden="false" customHeight="true" outlineLevel="0" collapsed="false">
      <c r="B18" s="50" t="s">
        <v>270</v>
      </c>
      <c r="C18" s="51" t="s">
        <v>271</v>
      </c>
    </row>
    <row r="19" customFormat="false" ht="42" hidden="false" customHeight="true" outlineLevel="0" collapsed="false">
      <c r="B19" s="50" t="s">
        <v>272</v>
      </c>
      <c r="C19" s="51" t="s">
        <v>273</v>
      </c>
    </row>
    <row r="20" customFormat="false" ht="42" hidden="false" customHeight="true" outlineLevel="0" collapsed="false">
      <c r="B20" s="50" t="s">
        <v>274</v>
      </c>
      <c r="C20" s="51" t="s">
        <v>275</v>
      </c>
    </row>
  </sheetData>
  <mergeCells count="4">
    <mergeCell ref="B1:C1"/>
    <mergeCell ref="B2:C2"/>
    <mergeCell ref="B6:C6"/>
    <mergeCell ref="B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2026-06-12T18:38:03Z</dcterms:created>
  <dc:creator>openpyxl</dc:creator>
  <dc:description/>
  <dc:language>en-US</dc:language>
  <cp:lastModifiedBy/>
  <dcterms:modified xsi:type="dcterms:W3CDTF">2026-06-12T18:38:03Z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