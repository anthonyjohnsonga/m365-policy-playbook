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thony.johnson\Downloads\Anthony\Inforcer\Baseline\Tier 1\"/>
    </mc:Choice>
  </mc:AlternateContent>
  <xr:revisionPtr revIDLastSave="0" documentId="13_ncr:1_{D6804A9A-31F3-4554-9F38-3D5A90C4F763}" xr6:coauthVersionLast="47" xr6:coauthVersionMax="47" xr10:uidLastSave="{00000000-0000-0000-0000-000000000000}"/>
  <bookViews>
    <workbookView xWindow="25050" yWindow="2445" windowWidth="24030" windowHeight="17190" tabRatio="500" activeTab="3" xr2:uid="{00000000-000D-0000-FFFF-FFFF00000000}"/>
  </bookViews>
  <sheets>
    <sheet name="📊 Dashboard" sheetId="1" r:id="rId1"/>
    <sheet name="✅ Checklist" sheetId="2" r:id="rId2"/>
    <sheet name="🚫 Excluded Items" sheetId="3" r:id="rId3"/>
    <sheet name="📖 How To Us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1" l="1"/>
  <c r="D17" i="1"/>
  <c r="F17" i="1" s="1"/>
  <c r="C17" i="1"/>
  <c r="E16" i="1"/>
  <c r="D16" i="1"/>
  <c r="F16" i="1" s="1"/>
  <c r="C16" i="1"/>
  <c r="E15" i="1"/>
  <c r="D15" i="1"/>
  <c r="F15" i="1" s="1"/>
  <c r="C15" i="1"/>
  <c r="E14" i="1"/>
  <c r="D14" i="1"/>
  <c r="F14" i="1" s="1"/>
  <c r="C14" i="1"/>
  <c r="E13" i="1"/>
  <c r="D13" i="1"/>
  <c r="F13" i="1" s="1"/>
  <c r="C13" i="1"/>
  <c r="E12" i="1"/>
  <c r="D12" i="1"/>
  <c r="F12" i="1" s="1"/>
  <c r="C12" i="1"/>
  <c r="E11" i="1"/>
  <c r="D11" i="1"/>
  <c r="F11" i="1" s="1"/>
  <c r="C11" i="1"/>
  <c r="E10" i="1"/>
  <c r="D10" i="1"/>
  <c r="F10" i="1" s="1"/>
  <c r="C10" i="1"/>
  <c r="E9" i="1"/>
  <c r="D9" i="1"/>
  <c r="F9" i="1" s="1"/>
  <c r="C9" i="1"/>
  <c r="E5" i="1"/>
  <c r="F5" i="1" s="1"/>
  <c r="D5" i="1"/>
  <c r="C5" i="1"/>
  <c r="B5" i="1"/>
</calcChain>
</file>

<file path=xl/sharedStrings.xml><?xml version="1.0" encoding="utf-8"?>
<sst xmlns="http://schemas.openxmlformats.org/spreadsheetml/2006/main" count="1182" uniqueCount="522">
  <si>
    <t>Inforcer Tier 1 Foundation Baseline — Deployment Playbook</t>
  </si>
  <si>
    <t>Omni Strategic Technologies  |  TAM Engagement Tracker</t>
  </si>
  <si>
    <t>Total Policies</t>
  </si>
  <si>
    <t>Not Started</t>
  </si>
  <si>
    <t>In Progress</t>
  </si>
  <si>
    <t>Done</t>
  </si>
  <si>
    <t>% Complete</t>
  </si>
  <si>
    <t>Progress by Section</t>
  </si>
  <si>
    <t>Section</t>
  </si>
  <si>
    <t>Total</t>
  </si>
  <si>
    <t>% Done</t>
  </si>
  <si>
    <t>Collaboration — SharePoint &amp; OneDrive</t>
  </si>
  <si>
    <t>Data Protection — Microsoft Purview</t>
  </si>
  <si>
    <t>Email &amp; Threat Protection</t>
  </si>
  <si>
    <t>Endpoint Management — Mobile</t>
  </si>
  <si>
    <t>Endpoint Management — Windows</t>
  </si>
  <si>
    <t>Identity &amp; Access — Authentication Methods</t>
  </si>
  <si>
    <t>Identity &amp; Access — Conditional Access</t>
  </si>
  <si>
    <t>M365 Admin Settings</t>
  </si>
  <si>
    <t>Microsoft Teams</t>
  </si>
  <si>
    <t>Inforcer User Impact Legend</t>
  </si>
  <si>
    <t>HIGH Impact</t>
  </si>
  <si>
    <t>MEDIUM Impact</t>
  </si>
  <si>
    <t>LOW/NONE Impact</t>
  </si>
  <si>
    <t>Pre-deploy Check</t>
  </si>
  <si>
    <t>VDI / Compat Flag</t>
  </si>
  <si>
    <t>Inforcer Tier 1 (Foundation) Baseline — Deployment Checklist</t>
  </si>
  <si>
    <t>#</t>
  </si>
  <si>
    <t>Policy Name</t>
  </si>
  <si>
    <t>Inforcer Impact</t>
  </si>
  <si>
    <t>What It Does</t>
  </si>
  <si>
    <t>What Users Will Experience</t>
  </si>
  <si>
    <t>Portal Path</t>
  </si>
  <si>
    <t>Auto-Remediable</t>
  </si>
  <si>
    <t>License</t>
  </si>
  <si>
    <t>Status</t>
  </si>
  <si>
    <t>Date Completed</t>
  </si>
  <si>
    <t>Tech</t>
  </si>
  <si>
    <t>Notes / Pre-Deploy Checks</t>
  </si>
  <si>
    <t>Core - Allow - MFA for Internal Users</t>
  </si>
  <si>
    <t>HIGH</t>
  </si>
  <si>
    <t>Requires all internal users to complete MFA when signing into Microsoft 365 apps.</t>
  </si>
  <si>
    <t>Users must verify identity with a second method (e.g., Authenticator or phone call). Users not yet registered for MFA will be prompted to set it up immediately.</t>
  </si>
  <si>
    <t>Entra ID &gt; Protection &gt; Conditional Access &gt; Policies</t>
  </si>
  <si>
    <t>Y</t>
  </si>
  <si>
    <t>M365 BP / All Plans</t>
  </si>
  <si>
    <t>Core - Allow - MFA for Admins</t>
  </si>
  <si>
    <t>Requires admin accounts to use stronger MFA (via the Inforcer Authentication Strength policy) when signing in.</t>
  </si>
  <si>
    <t>Admins who don't currently use MFA — or use a weaker method — will be prompted or blocked until they register a compliant method. Direct impact on IT staff, not general users.</t>
  </si>
  <si>
    <t>Core - Allow - MFA for Guests (excl. B2B Guests)</t>
  </si>
  <si>
    <t>Requires external guest users (non-B2B) to complete MFA when accessing the organisation's Microsoft 365 resources.</t>
  </si>
  <si>
    <t>Guest users (e.g., contractors, external collaborators) will be required to verify their identity before accessing shared files or Teams. Guests not registered for MFA will be prompted at next sign-in.</t>
  </si>
  <si>
    <t>Core - Allow - MFA for B2B Guests</t>
  </si>
  <si>
    <t>MEDIUM</t>
  </si>
  <si>
    <t>Requires B2B (business-to-business) guest users from other Azure AD tenants to use MFA.</t>
  </si>
  <si>
    <t>Guests from partner organisations will need to complete MFA if their home tenant doesn't already enforce it. Impact depends on whether the guest's own tenant has MFA configured.</t>
  </si>
  <si>
    <t>Core - Require - MFA for Admin Portals</t>
  </si>
  <si>
    <t>Requires MFA specifically when accessing Microsoft admin portals (e.g., Entra admin center, Microsoft 365 admin center).</t>
  </si>
  <si>
    <t>IT administrators and anyone with admin portal access will need to MFA at each admin portal sign-in. Minimal impact on regular end users.</t>
  </si>
  <si>
    <t>Core - Block - Legacy Authentication</t>
  </si>
  <si>
    <t>Blocks all sign-in attempts using older authentication protocols (e.g., basic auth, IMAP, POP, older mail clients) that do not support MFA.</t>
  </si>
  <si>
    <t>Users relying on older email clients (older versions of Outlook, Apple Mail configured with basic auth, third-party mail apps) will stop receiving email or be blocked. They will need to switch to a modern client or reconfigure their account. One of the highest-impact policies for end users.</t>
  </si>
  <si>
    <t>Core - Block - Device Code Flow</t>
  </si>
  <si>
    <t>LOW/NONE</t>
  </si>
  <si>
    <t>Blocks the 'device code flow' authentication method, which is sometimes used by attackers to trick users into authenticating on their behalf.</t>
  </si>
  <si>
    <t>No visible change for most users. Users who have connected certain IoT or TV/display-based apps to Microsoft 365 may find those connections stop working.</t>
  </si>
  <si>
    <t>Core - Block - Authentication Transfer Flow</t>
  </si>
  <si>
    <t>Blocks a lesser-known authentication method that can be exploited to transfer sessions across devices.</t>
  </si>
  <si>
    <t>Invisible to almost all users. No day-to-day workflow impact expected.</t>
  </si>
  <si>
    <t>Core - Require - Token Protection (Windows)</t>
  </si>
  <si>
    <t>Binds authentication tokens to the specific Windows device they were issued on, preventing token theft attacks. Pre-deployment requirement: audit app portfolio compatibility and confirm no VDI environments are in use before deploying. Has limited app compatibility — only apps that support Continuous Access Evaluation and token binding work correctly with it.</t>
  </si>
  <si>
    <t>Incompatible apps result in a hard sign-in failure. VDI environments (AVD, Citrix, RDS) break under Token Protection. Shared workstations (manufacturing, retail, healthcare) will see constant forced re-authentication. On compatible devices, users will be prompted to re-authenticate more frequently.</t>
  </si>
  <si>
    <t>Core - Require - Intune Enrollment Sign-In Frequency</t>
  </si>
  <si>
    <t>Requires re-authentication at a defined frequency for Intune-enrolled devices.</t>
  </si>
  <si>
    <t>Users on managed devices will occasionally be prompted to sign back in to Microsoft 365. Frequency depends on configuration. Minimal disruption for most users.</t>
  </si>
  <si>
    <t>M365 BP (Intune P1)</t>
  </si>
  <si>
    <t>MAM - Require - App Protection Policy for (Android/iOS)</t>
  </si>
  <si>
    <t>Requires mobile devices accessing Microsoft 365 to have an Intune App Protection Policy applied. Unmanaged phones without the policy will have restricted access.</t>
  </si>
  <si>
    <t>Mobile users who access company email or Teams on personal phones may find access restricted or be prompted to install the Microsoft Authenticator / Company Portal app and accept a management policy. This is a significant change for BYOD environments.</t>
  </si>
  <si>
    <t>Core - Allow - Browser Sessions for Unmanaged Devices</t>
  </si>
  <si>
    <t>Allows users on unmanaged (personal) devices to access Microsoft 365 through a web browser only — not through full desktop app access.</t>
  </si>
  <si>
    <t>Users on personal computers will be limited to browser-based access (e.g., Outlook on the web, Teams web app) and may not be able to sync files via OneDrive desktop client. Users accustomed to full desktop apps on personal PCs will notice the change.</t>
  </si>
  <si>
    <t>Core - Block - Unsupported Platforms</t>
  </si>
  <si>
    <t>Blocks sign-in to Microsoft 365 from any platform other than Windows, macOS, iOS, and Android. All other platforms (e.g., Linux, ChromeOS) are denied access entirely.</t>
  </si>
  <si>
    <t>Any user signing in from Linux or ChromeOS will be completely blocked from accessing Microsoft 365. For most customers this will have zero visible impact. However, MSPs should assess this carefully for pre-existing tenants where users may already be working from non-standard platforms.</t>
  </si>
  <si>
    <t>MSAuthenticatorConfig</t>
  </si>
  <si>
    <t>Enables Microsoft Authenticator as an authentication method for all users, with number matching and location context features turned on.</t>
  </si>
  <si>
    <t>Users who haven't set up Microsoft Authenticator will be prompted or required to do so. Users already using Authenticator will see number matching prompts (a number is displayed in the app to confirm) — a small but visible change in the MFA experience.</t>
  </si>
  <si>
    <t>Entra ID &gt; Protection &gt; Authentication Methods &gt; Microsoft Authenticator</t>
  </si>
  <si>
    <t>AuthenticatorSetupEnforce</t>
  </si>
  <si>
    <t>Turns on a registration campaign that prompts users to set up Microsoft Authenticator if they haven't already. Users can snooze once per day.</t>
  </si>
  <si>
    <t>Users without Authenticator registered will see a persistent prompt to set it up each time they sign in (with a one-day snooze option). This is a visible but non-blocking prompt until they complete setup.</t>
  </si>
  <si>
    <t>Entra ID &gt; Protection &gt; Authentication Methods &gt; Registration Campaign</t>
  </si>
  <si>
    <t>MultiFactorAuthConfig</t>
  </si>
  <si>
    <t>Sets MFA as required at the tenant level for all users.</t>
  </si>
  <si>
    <t>Any user not yet enrolled in MFA will be required to complete enrollment the next time they sign in. Combined with other CA policies, this is the foundation of the MFA rollout and its impact is significant.</t>
  </si>
  <si>
    <t>Entra ID &gt; Protection &gt; Authentication Methods &gt; Settings</t>
  </si>
  <si>
    <t>TempPasswordConfig</t>
  </si>
  <si>
    <t>Enables Temporary Access Pass as an authentication method (one-time, time-limited codes for onboarding or account recovery).</t>
  </si>
  <si>
    <t>Invisible to existing users. Primarily used by admins when onboarding new users or helping users recover access. No impact on day-to-day workflows.</t>
  </si>
  <si>
    <t>Entra ID &gt; Protection &gt; Authentication Methods &gt; Temporary Access Pass</t>
  </si>
  <si>
    <t>SmsAuthConfig</t>
  </si>
  <si>
    <t>Disables SMS text message as an MFA method for all users. Pre-deployment requirement: audit how many users have SMS as their only registered method.</t>
  </si>
  <si>
    <t>Users who currently use SMS codes to verify their identity during sign-in will no longer be able to do so. They will need to switch to a more secure method such as Microsoft Authenticator. This change requires advance communication for affected users.</t>
  </si>
  <si>
    <t>Entra ID &gt; Protection &gt; Authentication Methods &gt; SMS</t>
  </si>
  <si>
    <t>VoiceConfig</t>
  </si>
  <si>
    <t>Disables voice call as an MFA method for all users. Pre-deployment requirement: audit how many users have voice as their only registered method.</t>
  </si>
  <si>
    <t>Users who receive automated phone calls for MFA verification will no longer be able to use this method. They will need to switch to Authenticator or another supported method.</t>
  </si>
  <si>
    <t>Entra ID &gt; Protection &gt; Authentication Methods &gt; Voice Call</t>
  </si>
  <si>
    <t>SoftwareOathConfig</t>
  </si>
  <si>
    <t>Enables software OATH tokens (e.g., third-party authenticator apps that generate time-based codes) as a valid MFA method.</t>
  </si>
  <si>
    <t>No disruption. This expands the options available for MFA — users can continue with existing methods.</t>
  </si>
  <si>
    <t>Entra ID &gt; Protection &gt; Authentication Methods &gt; Third-party software OATH</t>
  </si>
  <si>
    <t>EmailOTPConfig</t>
  </si>
  <si>
    <t>Disables email one-time passcodes as an authentication method.</t>
  </si>
  <si>
    <t>Most users won't notice. Email OTP is typically only used by guest/external users. External guests relying on this method will need an alternative.</t>
  </si>
  <si>
    <t>Entra ID &gt; Protection &gt; Authentication Methods &gt; Email OTP</t>
  </si>
  <si>
    <t>HardwareOathConfig</t>
  </si>
  <si>
    <t>Enables hardware OATH tokens (physical devices that generate time-based codes) as a valid MFA method.</t>
  </si>
  <si>
    <t>No visible impact for users without hardware tokens. Expands options for organisations that use physical MFA devices.</t>
  </si>
  <si>
    <t>Entra ID &gt; Protection &gt; Authentication Methods &gt; Hardware OATH</t>
  </si>
  <si>
    <t>Fido2Config</t>
  </si>
  <si>
    <t>Enables FIDO2 security keys (physical USB/NFC security keys) and passkeys as authentication methods, restricted to specific approved key types.</t>
  </si>
  <si>
    <t>No disruption for users not using security keys. Extends available strong authentication options for those who want to use them.</t>
  </si>
  <si>
    <t>Entra ID &gt; Protection &gt; Authentication Methods &gt; FIDO2 Security Keys</t>
  </si>
  <si>
    <t>QrCodeConfig</t>
  </si>
  <si>
    <t>Disables QR code-based authentication (a preview feature) for all users.</t>
  </si>
  <si>
    <t>No impact — this is a rarely used preview feature. Most users will never encounter it.</t>
  </si>
  <si>
    <t>Entra ID &gt; Protection &gt; Authentication Methods &gt; QR Code</t>
  </si>
  <si>
    <t>DefUserRolePerms</t>
  </si>
  <si>
    <t>Restricts default user permissions: users can no longer create apps, create security groups, or create new tenants. Users can still read other users' basic directory info.</t>
  </si>
  <si>
    <t>Power users who have previously self-registered apps in Azure AD or created security groups without admin approval will find those options removed. Most standard users won't notice.</t>
  </si>
  <si>
    <t>Entra ID &gt; Users &gt; User Settings</t>
  </si>
  <si>
    <t>GuestUserAccessConfig</t>
  </si>
  <si>
    <t>Restricts who can invite guest users to admins and designated Guest Inviter role only. Sets guest user permissions to the most restricted level.</t>
  </si>
  <si>
    <t>Regular users can no longer invite external guests to Teams or SharePoint directly. Invitations must go through IT or an admin. This may cause friction for teams that frequently collaborate externally.</t>
  </si>
  <si>
    <t>Entra ID &gt; External Identities &gt; External Collaboration Settings</t>
  </si>
  <si>
    <t>AdminAppConsent</t>
  </si>
  <si>
    <t>Enables an admin consent workflow: when users try to grant permissions to a third-party app, they must request admin approval rather than approving it themselves.</t>
  </si>
  <si>
    <t>Users who click 'Allow' on a third-party app requesting Microsoft 365 permissions will see a workflow where they submit a request instead of granting access immediately. Admins receive notifications to approve or deny. Users experience a delay in app access.</t>
  </si>
  <si>
    <t>Entra ID &gt; Enterprise Applications &gt; User Consent Settings</t>
  </si>
  <si>
    <t>SelfServicePassConfig</t>
  </si>
  <si>
    <t>Disables self-service sign-up for the tenant — external people cannot create free Microsoft accounts using the organisation's email domain.</t>
  </si>
  <si>
    <t>No impact on existing users. Prevents external people from accidentally creating accounts in the tenant.</t>
  </si>
  <si>
    <t>M365 Admin Center &gt; Settings &gt; Org Settings &gt; User-owned apps and services</t>
  </si>
  <si>
    <t>LocalAdministratorPassword</t>
  </si>
  <si>
    <t>Enables Microsoft's Local Administrator Password Solution (LAPS), which automatically manages and rotates local admin passwords on Windows devices.</t>
  </si>
  <si>
    <t>Invisible to standard users. IT admins will use a new process for retrieving local admin credentials rather than using a known shared password.</t>
  </si>
  <si>
    <t>Entra ID &gt; Devices &gt; Device Settings (Local administrator settings)</t>
  </si>
  <si>
    <t>Password Protection</t>
  </si>
  <si>
    <t>Enables a banned password list (blocking common weak passwords like 'Welcome', 'Summer', 'Winter') and sets account lockout at 10 failed attempts with a 60-second lockout.</t>
  </si>
  <si>
    <t>Users won't notice unless they try to set a banned password — in which case their password will be rejected. Users who enter a wrong password 10+ times will be temporarily locked out for 60 seconds.</t>
  </si>
  <si>
    <t>Entra ID &gt; Protection &gt; Authentication Methods &gt; Password Protection</t>
  </si>
  <si>
    <t>UserDeviceQuota</t>
  </si>
  <si>
    <t>Sets a maximum of 20 devices that a single user can register in Azure AD.</t>
  </si>
  <si>
    <t>No impact for the vast majority of users. Only relevant for heavy device registrations.</t>
  </si>
  <si>
    <t>Entra ID &gt; Devices &gt; Device Settings</t>
  </si>
  <si>
    <t>ExternalUserLeaveConfig</t>
  </si>
  <si>
    <t>Allows external guest users to remove themselves from the tenant's directory.</t>
  </si>
  <si>
    <t>No visible change for internal users. Gives external guests the ability to self-manage their presence in the directory.</t>
  </si>
  <si>
    <t>UserAllowedToRegister</t>
  </si>
  <si>
    <t>Allows all users to register devices with Azure AD.</t>
  </si>
  <si>
    <t>No restrictive impact. This is a permissive setting enabling standard device registration workflows.</t>
  </si>
  <si>
    <t>Certificate-based authentication</t>
  </si>
  <si>
    <t>Configures the certificate-based authentication method (currently disabled — sets up the framework for organisations using smart cards or certificate-based sign-in).</t>
  </si>
  <si>
    <t>No impact on users. This is a configuration-only setting; the method is disabled by default.</t>
  </si>
  <si>
    <t>Entra ID &gt; Protection &gt; Authentication Methods &gt; Certificate-based Auth</t>
  </si>
  <si>
    <t>Inforcer - Authentication (Strength)</t>
  </si>
  <si>
    <t>Defines a custom authentication strength profile requiring phishing-resistant or strong MFA methods (Authenticator, FIDO2, Windows Hello, hardware tokens, etc.).</t>
  </si>
  <si>
    <t>No direct user impact on its own — this is a definition used by Conditional Access policies. Impact is felt through the CA policies that reference it.</t>
  </si>
  <si>
    <t>Entra ID &gt; Protection &gt; Authentication Strengths</t>
  </si>
  <si>
    <t>UserConsentSettings</t>
  </si>
  <si>
    <t>Limits which third-party application permission grants users can approve on their own. Users can still consent for permissions on resources they personally own (their own chats and teams they own), but consent for any other resource must go through an admin.</t>
  </si>
  <si>
    <t>Most users this is invisible; users who frequently connect third-party apps will notice the workflow change.</t>
  </si>
  <si>
    <t>Entra ID &gt; Enterprise Applications &gt; Consent and Permissions &gt; User Consent Settings</t>
  </si>
  <si>
    <t>DefSecSettings</t>
  </si>
  <si>
    <t>LOW/NONE or HIGH</t>
  </si>
  <si>
    <t>Disables Microsoft Security Defaults for the tenant (isEnabled: false). Pre-deployment requirement: audit the tenant to determine if CA policies have been deployed first. If not, user impact will be HIGH. If they have, user impact should be LOW.</t>
  </si>
  <si>
    <t>On its own, disabling Security Defaults removes those baseline protections — which would be a security regression. However, in the context of the Tier 1 baseline, this is intentional and correct: the Conditional Access policies deployed alongside it provide more granular and stronger protection.</t>
  </si>
  <si>
    <t>Entra ID &gt; Properties &gt; Manage Security Defaults</t>
  </si>
  <si>
    <t>Inforcer - Anti-Phishing Policy</t>
  </si>
  <si>
    <t>Enables advanced anti-phishing protections including impersonation detection, mailbox intelligence, and spoof detection.</t>
  </si>
  <si>
    <t>Most users will see this as legitimate phishing emails being caught before they arrive. In some cases, borderline emails may be quarantined that users would prefer to receive — occasional false positives are possible. Admins may get quarantine reports.</t>
  </si>
  <si>
    <t>M365 Defender &gt; Email &amp; Collaboration &gt; Policies &amp; Rules &gt; Threat Policies &gt; Anti-phishing</t>
  </si>
  <si>
    <t>M365 BP (MDO P1)</t>
  </si>
  <si>
    <t>Inforcer - Anti-Malware Policy</t>
  </si>
  <si>
    <t>Scans all email attachments for malware before delivery. Malicious attachments are removed.</t>
  </si>
  <si>
    <t>Emails with known malware attachments will arrive without the attachment (or not at all). Users will not notice any difference for clean emails — this is entirely backend.</t>
  </si>
  <si>
    <t>M365 Defender &gt; Email &amp; Collaboration &gt; Policies &amp; Rules &gt; Threat Policies &gt; Anti-malware</t>
  </si>
  <si>
    <t>Inforcer - Safe Attachments Policy</t>
  </si>
  <si>
    <t>All email attachments are opened in a secure virtual environment (detonation) before delivery to check for malicious behaviour.</t>
  </si>
  <si>
    <t>Emails with attachments may have a short delivery delay (typically a few minutes) while the attachment is analysed. Users in fast-paced environments waiting on contracts may notice this. Some attachments that look clean to standard scanners may be quarantined.</t>
  </si>
  <si>
    <t>M365 Defender &gt; Email &amp; Collaboration &gt; Policies &amp; Rules &gt; Threat Policies &gt; Safe Attachments</t>
  </si>
  <si>
    <t>Inforcer - Safe Links Policy</t>
  </si>
  <si>
    <t>All hyperlinks in emails and Office documents are scanned at click time and redirected through Microsoft's threat verification service.</t>
  </si>
  <si>
    <t>Users will notice that clicking links in emails opens them through a Microsoft wrapper URL briefly before redirecting. Some users may see a warning page if a link is flagged. Links in older emails may stop working after the URL rewrite.</t>
  </si>
  <si>
    <t>M365 Defender &gt; Email &amp; Collaboration &gt; Policies &amp; Rules &gt; Threat Policies &gt; Safe Links</t>
  </si>
  <si>
    <t>Inforcer - Inbound Spam Filter Policy</t>
  </si>
  <si>
    <t>Configures inbound spam filtering rules — classifying and routing junk, bulk, and high-confidence spam email.</t>
  </si>
  <si>
    <t>Users may notice some emails going to their Junk folder that previously appeared in the inbox. Legitimate bulk marketing emails (newsletters, automated notifications) are more likely to be caught. Users may need to whitelist senders or check junk more often initially.</t>
  </si>
  <si>
    <t>M365 Defender &gt; Email &amp; Collaboration &gt; Policies &amp; Rules &gt; Threat Policies &gt; Anti-spam (inbound)</t>
  </si>
  <si>
    <t>Inforcer - Outbound Spam Filter Policy</t>
  </si>
  <si>
    <t>Restricts outbound email sending limits and configures alerts if an account sends email that resembles spam (possible account compromise indicator).</t>
  </si>
  <si>
    <t>No impact for normal users. If an account is compromised and starts mass-sending spam, it will be automatically throttled and IT will be alerted.</t>
  </si>
  <si>
    <t>M365 Defender &gt; Email &amp; Collaboration &gt; Policies &amp; Rules &gt; Threat Policies &gt; Anti-spam (outbound)</t>
  </si>
  <si>
    <t>ExternalInOutlook</t>
  </si>
  <si>
    <t>Enables the native Outlook 'External' tag, a small label that appears next to the sender's name in Outlook for desktop, web, and mobile when a message is received from outside the organisation. Pre-deployment requirement: enable the External tag at the tenant level (Set-ExternalInOutlook -Enabled $true).</t>
  </si>
  <si>
    <t>Users will see a small 'External' pill beside external senders' names in the message list and reading pane. The tag is informational and requires no action. Because the Alert External Emails transport rule already prepends a yellow banner to the same messages, users will see two external indicators on every external message — communication to users should cover both, side by side, so neither looks like a bug.</t>
  </si>
  <si>
    <t>Exchange Admin Center &gt; Settings &gt; Mail Flow (Set-ExternalInOutlook)</t>
  </si>
  <si>
    <t>N</t>
  </si>
  <si>
    <t>Inforcer - Alert External Emails</t>
  </si>
  <si>
    <t>Adds a yellow 'Caution' banner to the top of every email received from outside the organisation, warning users it is from an external sender.</t>
  </si>
  <si>
    <t>Every incoming external email will display a prominent yellow warning banner. This is immediately visible to all users on every external email they receive. It requires user communication to explain why it appears and prevent confusion.</t>
  </si>
  <si>
    <t>Exchange Admin Center &gt; Mail Flow &gt; Rules</t>
  </si>
  <si>
    <t>Mail Flow Security Settings</t>
  </si>
  <si>
    <t>Disables legacy TLS (older, insecure encryption for email) and disables SMTP client authentication (prevents email being sent through scripts or apps using basic SMTP auth).</t>
  </si>
  <si>
    <t>No impact for standard Outlook/Microsoft 365 users. May affect legacy systems, printers, or line-of-business apps that send email via SMTP basic auth (e.g., 'scan to email' features on multifunction printers).</t>
  </si>
  <si>
    <t>Exchange Admin Center &gt; Settings &gt; Mail Flow</t>
  </si>
  <si>
    <t>Mail Flow General Settings</t>
  </si>
  <si>
    <t>Sets general mail flow configuration — plus-addressing (e.g., user+tag@domain.com) is disabled; send-from-alias feature is disabled. Pre-deployment requirement: audit for tenants where users have built Outlook rules based on plus-addressing, as those users will see breakage.</t>
  </si>
  <si>
    <t>Users who rely on plus-addressing for email filtering may notice those emails stop routing differently. Most users will not notice any change.</t>
  </si>
  <si>
    <t>Mail Flow Reply All Storm Protection</t>
  </si>
  <si>
    <t>Detects and blocks 'reply all storms' — situations where a large number of recipients (2,500+) reply-all to a message, triggering a cascade. Blocks re-triggering for 6 hours.</t>
  </si>
  <si>
    <t>Invisible to the vast majority of users. Relevant only for very large organisations with large distribution lists.</t>
  </si>
  <si>
    <t>Mail Flow Message Recall Settings</t>
  </si>
  <si>
    <t>Enables enhanced message recall, allowing senders to recall messages that have already been read (across the organisation). Recall notifications to recipients are disabled.</t>
  </si>
  <si>
    <t>Senders gain a more powerful recall capability. Recipients won't see recall notifications. Most users won't notice any change in day-to-day use.</t>
  </si>
  <si>
    <t>Win - D - Defender for Endpoint</t>
  </si>
  <si>
    <t>Compliance policy requiring Windows devices to have Defender for Endpoint integration and meet a minimum threat protection security level.</t>
  </si>
  <si>
    <t>Devices not meeting the security level threshold (e.g., active threats detected) will be marked non-compliant. Non-compliant devices may lose access to company resources until resolved. Users with clean devices see no change.</t>
  </si>
  <si>
    <t>Intune Admin Center &gt; Devices &gt; Compliance Policies</t>
  </si>
  <si>
    <t>M365 BP (MDE P1)</t>
  </si>
  <si>
    <t>Win - D - OS Version</t>
  </si>
  <si>
    <t>Requires Windows devices to be running at least Windows 11 build 26200 (25H2). Devices on older versions are marked non-compliant and blocked after a 12-hour grace period.</t>
  </si>
  <si>
    <t>Users on older Windows versions (Windows 10 or earlier Windows 11 builds) will be marked non-compliant and may lose access to Microsoft 365 resources. This is a significant impact for organisations that haven't fully moved to Windows 11 25H2.</t>
  </si>
  <si>
    <t>Win - D - System Security</t>
  </si>
  <si>
    <t>Compliance policy requiring active firewall, antivirus, antispyware, Defender enabled, real-time protection, TPM chip, and up-to-date Defender signatures.</t>
  </si>
  <si>
    <t>Devices with disabled security features or outdated signatures will be marked non-compliant and blocked (after a 24-hour grace period). Users may be prompted to update Defender or enable security features.</t>
  </si>
  <si>
    <t>Win - D - Encryption</t>
  </si>
  <si>
    <t>Compliance policy requiring BitLocker drive encryption, Secure Boot, and code integrity on Windows devices.</t>
  </si>
  <si>
    <t>Users on unencrypted devices will be marked non-compliant. BitLocker encryption may be triggered on devices where it was previously disabled. Users may experience a one-time encryption process during which performance could temporarily be affected. Requires user to save a recovery key.</t>
  </si>
  <si>
    <t>DefenderForEndpointSettings</t>
  </si>
  <si>
    <t>Configures tenant-level Defender for Endpoint integration settings — the bridge between Intune and the Defender for Endpoint cloud service.</t>
  </si>
  <si>
    <t>Invisible to users. Admin-only configuration that enables the MDE onboarding and reporting flows.</t>
  </si>
  <si>
    <t>Intune Admin Center &gt; Endpoint Security &gt; Microsoft Defender for Endpoint</t>
  </si>
  <si>
    <t>Win - Security - D - Hardening</t>
  </si>
  <si>
    <t>Applies 53 system hardening settings covering Structured Exception Handling protection, RPC security, Remote Assistance restrictions, and other OS-level security controls.</t>
  </si>
  <si>
    <t>Invisible to end users. Solicited Remote Assistance (e.g., Windows Remote Assistance) will be disabled — IT staff should be aware they cannot use this for remote support and should use their standard remote support tooling instead.</t>
  </si>
  <si>
    <t>Intune Admin Center &gt; Devices &gt; Configuration Profiles</t>
  </si>
  <si>
    <t>Win - Updates - D - WUFB Behavior</t>
  </si>
  <si>
    <t>Controls how Windows Update behaves: installs during maintenance windows (8am–5pm active hours), enforces a 2-day deadline for quality updates with a 1-day grace period.</t>
  </si>
  <si>
    <t>Users may notice that Windows restarts to install updates within a defined window if they've been postponing updates. The 2-day deadline means updates cannot be deferred indefinitely.</t>
  </si>
  <si>
    <t>Intune Admin Center &gt; Devices &gt; Windows &gt; Update Rings</t>
  </si>
  <si>
    <t>Win - Updates - D - WUFB Production Ring</t>
  </si>
  <si>
    <t>Configures Windows Update for Business production ring: quality updates deferred by 0 days (immediate), feature updates deferred by 30 days.</t>
  </si>
  <si>
    <t>Quality updates (security patches) deploy quickly. Feature updates are delayed 30 days. Users may notice periodic restart prompts for updates being installed per the configured schedule.</t>
  </si>
  <si>
    <t>Win - Updates - D - WUFB Feature Production Ring</t>
  </si>
  <si>
    <t>Manages feature (major) Windows updates — prevents upgrade to Windows 11 and controls which feature releases are deployed.</t>
  </si>
  <si>
    <t>Most users won't notice. Prevents surprise major Windows upgrades, which is actually a stabilising change.</t>
  </si>
  <si>
    <t>Intune Admin Center &gt; Devices &gt; Windows &gt; Feature Updates</t>
  </si>
  <si>
    <t>Win - Updates - D - Hotpatch</t>
  </si>
  <si>
    <t>Enables Windows hotpatching — security patches are applied without requiring a restart where possible.</t>
  </si>
  <si>
    <t>Positive for users: fewer forced restarts for security updates. Users on eligible Windows 11 builds will see less disruption from patching.</t>
  </si>
  <si>
    <t>Intune Admin Center &gt; Devices &gt; Windows &gt; Quality Updates</t>
  </si>
  <si>
    <t>Win - Updates - D - Secure Boot Certificate</t>
  </si>
  <si>
    <t>Configures secure boot certificate settings for update validation.</t>
  </si>
  <si>
    <t>Invisible to end users. Backend firmware/boot security setting.</t>
  </si>
  <si>
    <t>Win - Updates - D - Office Apps</t>
  </si>
  <si>
    <t>Manages update settings for Microsoft Office applications.</t>
  </si>
  <si>
    <t>Office apps will update on a managed schedule. Users may notice Office updates applying during restart cycles, but this is a normalisation of existing behaviour.</t>
  </si>
  <si>
    <t>Intune Admin Center &gt; Devices &gt; Configuration Profiles (Office Update)</t>
  </si>
  <si>
    <t>Win - Updates - D - Microsoft Edge</t>
  </si>
  <si>
    <t>Manages update settings for the Microsoft Edge browser.</t>
  </si>
  <si>
    <t>Edge will update automatically on a managed schedule. Invisible to most users.</t>
  </si>
  <si>
    <t>Intune Admin Center &gt; Devices &gt; Configuration Profiles (Edge Update)</t>
  </si>
  <si>
    <t>Win - Experience - U - Microsoft Edge</t>
  </si>
  <si>
    <t>Configures Microsoft Edge browser settings for users — may include homepage, default search engine, security settings, and extension controls.</t>
  </si>
  <si>
    <t>Users may find their Edge browser homepage, default search, or extension behaviour changes. This can be noticeable for users who have customised their browser.</t>
  </si>
  <si>
    <t>Intune Admin Center &gt; Devices &gt; Configuration Profiles (Edge)</t>
  </si>
  <si>
    <t>Win - Experience - U - OneDrive</t>
  </si>
  <si>
    <t>Configures OneDrive client settings for users — may enable Known Folder Move (redirecting Desktop, Documents, Pictures to OneDrive) silently.</t>
  </si>
  <si>
    <t>If Known Folder Move is configured, users will notice their Desktop and Documents folders syncing to OneDrive. Files may appear to move. This is a commonly disorienting experience if not communicated in advance.</t>
  </si>
  <si>
    <t>Intune Admin Center &gt; Devices &gt; Configuration Profiles (OneDrive)</t>
  </si>
  <si>
    <t>Win - Experience - U - Microsoft Accounts</t>
  </si>
  <si>
    <t>Restricts users from adding or using personal Microsoft accounts on company-managed devices.</t>
  </si>
  <si>
    <t>Users who sign into personal Microsoft services (personal OneDrive, personal Outlook) through Windows settings may find this blocked. Staff who use personal Microsoft accounts on work PCs will be affected.</t>
  </si>
  <si>
    <t>Win - Experience - U - Office Apps</t>
  </si>
  <si>
    <t>Configures user-level settings for Microsoft Office applications (e.g., macro behaviour, file format defaults, feature toggles).</t>
  </si>
  <si>
    <t>Depending on specific settings deployed, some Office behaviours may change — for example macro warnings, default save formats. Most users won't notice unless specific Office features are restricted.</t>
  </si>
  <si>
    <t>Intune Admin Center &gt; Devices &gt; Configuration Profiles (Office)</t>
  </si>
  <si>
    <t>Win - Security - D - Defender Antivirus</t>
  </si>
  <si>
    <t>Configures Windows Defender Antivirus settings including real-time monitoring, full scans on mapped drives and removable media, cloud protection, and I/O protection.</t>
  </si>
  <si>
    <t>Users may notice Defender scans occurring (slight performance impact during scheduled scans). Defender will be more thorough — this may cause slightly longer scans. No day-to-day interaction required.</t>
  </si>
  <si>
    <t>Intune Admin Center &gt; Endpoint Security &gt; Antivirus</t>
  </si>
  <si>
    <t>Win - Security - D - MDE Onboarding</t>
  </si>
  <si>
    <t>Onboards Windows devices into Microsoft Defender for Endpoint — the enterprise security platform.</t>
  </si>
  <si>
    <t>Invisible to end users. A background agent is installed that monitors device security. No user interaction required.</t>
  </si>
  <si>
    <t>Win - Security - D - Exploit Protection</t>
  </si>
  <si>
    <t>Configures Windows Exploit Guard with attack surface reduction rules designed to block common exploitation techniques.</t>
  </si>
  <si>
    <t>No visible change for typical users. In rare cases, legitimate applications that use techniques flagged by ASR rules may behave unexpectedly — this is worth monitoring during rollout.</t>
  </si>
  <si>
    <t>Intune Admin Center &gt; Endpoint Security &gt; Attack Surface Reduction</t>
  </si>
  <si>
    <t>Win - Security - D - Attack Surface Reduction Rules</t>
  </si>
  <si>
    <t>Enables a set of Attack Surface Reduction (ASR) rules that block specific malicious behaviours: macros calling Win32 APIs, executable content from email, Office apps spawning child processes, credential theft from lsass, etc.</t>
  </si>
  <si>
    <t>Some users — particularly those who use macros heavily, receive executable attachments, or use older workflows — may find certain operations blocked. Office macros calling certain APIs will be prevented. Testing in audit mode first is strongly recommended before enforcing.</t>
  </si>
  <si>
    <t>Win - Security - D - Audit Device Control</t>
  </si>
  <si>
    <t>Configures device control in audit-only mode — monitors and logs USB and removable media activity without blocking.</t>
  </si>
  <si>
    <t>No visible impact on users. USB drives and removable media continue to work as normal. Events are logged for monitoring and reporting only. Note: if this policy is later changed to enforce (block) mode, the impact rating would increase to HIGH — users would be unable to use USB drives.</t>
  </si>
  <si>
    <t>Intune Admin Center &gt; Endpoint Security &gt; Attack Surface Reduction (Device Control)</t>
  </si>
  <si>
    <t>Win - Security - D - Defender Security Center</t>
  </si>
  <si>
    <t>Configures the Windows Security app (Defender Security Center) — controls which panels and features are visible to users.</t>
  </si>
  <si>
    <t>Users may notice the Windows Security app interface looks slightly different if certain panels are hidden or rebranded. Minimal day-to-day impact.</t>
  </si>
  <si>
    <t>Win - Security - D - Defender SmartScreen</t>
  </si>
  <si>
    <t>Enables Windows Defender SmartScreen for both Windows and Edge, blocking known malicious downloads and websites.</t>
  </si>
  <si>
    <t>Users attempting to download suspicious files or visit flagged websites will see a SmartScreen warning or block. Legitimate files from unknown publishers may trigger a one-time warning prompt.</t>
  </si>
  <si>
    <t>Win - Security - D - Device Guard / Memory / LSA / VBS</t>
  </si>
  <si>
    <t>Enables kernel-level hardware security: Device Guard, Memory Access Protection, Credential Guard (LSA protection), and Virtualization-Based Security (VBS).</t>
  </si>
  <si>
    <t>Invisible to end users for the most part. On older hardware without Secure Boot or TPM support, these features may not activate. Enabling VBS on older hardware can cause a one-time performance impact.</t>
  </si>
  <si>
    <t>Win - Security - D - Config Refresh</t>
  </si>
  <si>
    <t>Enforces periodic policy refresh to prevent configuration drift on devices.</t>
  </si>
  <si>
    <t>Invisible to users. Ensures managed settings are reapplied if someone attempts to change them.</t>
  </si>
  <si>
    <t>Win - Security - D - Windows Hello For Business</t>
  </si>
  <si>
    <t>Configures Windows Hello for Business — allows users to sign into Windows using a PIN or biometrics (fingerprint/face) instead of a password.</t>
  </si>
  <si>
    <t>Users will be prompted to set up a PIN or biometric for Windows sign-in. This changes the daily sign-in experience. Most users find this more convenient, but it requires an initial setup step.</t>
  </si>
  <si>
    <t>Intune Admin Center &gt; Devices &gt; Configuration Profiles (WHfB)</t>
  </si>
  <si>
    <t>Win - Security - D - Google Chrome</t>
  </si>
  <si>
    <t>Applies security settings to Google Chrome if installed on managed devices.</t>
  </si>
  <si>
    <t>Chrome users may notice certain browser settings are managed by their organisation (a banner may appear). Security features like Safe Browsing may be enforced.</t>
  </si>
  <si>
    <t>Intune Admin Center &gt; Devices &gt; Configuration Profiles (Chrome)</t>
  </si>
  <si>
    <t>Win - Security - D - Microsoft Edge</t>
  </si>
  <si>
    <t>Applies security and enterprise management settings to Microsoft Edge.</t>
  </si>
  <si>
    <t>Edge users may see an 'Organisation-managed' indicator. Some security settings may change browsing behaviour (e.g., insecure site warnings, extension restrictions).</t>
  </si>
  <si>
    <t>Intune Admin Center &gt; Devices &gt; Configuration Profiles (Edge Security)</t>
  </si>
  <si>
    <t>Win - Security - D - Internet Explorer</t>
  </si>
  <si>
    <t>Applies hardening settings for Internet Explorer (legacy browser).</t>
  </si>
  <si>
    <t>Minimal impact — IE is effectively retired. Relevant only if any users or line-of-business apps still use IE.</t>
  </si>
  <si>
    <t>Win - Security - D - LAPS</t>
  </si>
  <si>
    <t>Manages Local Administrator Password Solution settings on Windows devices — ensures LAPS is active and rotating local admin credentials.</t>
  </si>
  <si>
    <t>Invisible to standard users. IT support staff will use a different process for local admin access.</t>
  </si>
  <si>
    <t>Intune Admin Center &gt; Endpoint Security &gt; Account Protection</t>
  </si>
  <si>
    <t>Win - Security - D - Local Admins</t>
  </si>
  <si>
    <t>Manages the local Administrators group on Windows devices — restricts which accounts have local admin rights.</t>
  </si>
  <si>
    <t>Users who currently have local admin rights on their machines may find those rights removed. This impacts users who install their own software, change system settings, or manage their own devices. One of the more disruptive policies for users accustomed to full admin access.</t>
  </si>
  <si>
    <t>Intune Admin Center &gt; Endpoint Security &gt; Account Protection (Local Admin)</t>
  </si>
  <si>
    <t>Win - Security - D - Printing</t>
  </si>
  <si>
    <t>Configures printing security settings — limits which printers can be used or restricts certain printing capabilities.</t>
  </si>
  <si>
    <t>Depending on specific settings, users may find some printers unavailable or printing options restricted. Worth verifying printer workflows before deployment.</t>
  </si>
  <si>
    <t>Intune Admin Center &gt; Devices &gt; Configuration Profiles (Print)</t>
  </si>
  <si>
    <t>Win - Access Control - D - LAPS</t>
  </si>
  <si>
    <t>Configures access control settings for the LAPS local administrator account.</t>
  </si>
  <si>
    <t>Invisible to standard users. Relevant to IT admin workflows only.</t>
  </si>
  <si>
    <t>Win - Access Control - D - User Rights</t>
  </si>
  <si>
    <t>Configures Windows User Rights Assignments — controls which accounts can perform privileged operations at the OS level.</t>
  </si>
  <si>
    <t>Invisible to standard users. Limits which user accounts can perform privileged system operations.</t>
  </si>
  <si>
    <t>Win - Access Control - D - Local Security Policies</t>
  </si>
  <si>
    <t>Applies local security policy settings such as account lockout thresholds, audit policies, and network access restrictions.</t>
  </si>
  <si>
    <t>Invisible to standard users. Backend security configuration.</t>
  </si>
  <si>
    <t>Win - Network - D - Firewall</t>
  </si>
  <si>
    <t>Configures Windows Firewall to be enabled and active across all network profiles (domain, private, public).</t>
  </si>
  <si>
    <t>Invisible to most users. Users on networks with unusual firewall rules may find certain network connections behave differently.</t>
  </si>
  <si>
    <t>Intune Admin Center &gt; Endpoint Security &gt; Firewall</t>
  </si>
  <si>
    <t>Win - Network - D - Security</t>
  </si>
  <si>
    <t>Applies network security settings — likely includes SMB signing, LDAP settings, and other network protocol security configurations.</t>
  </si>
  <si>
    <t>Invisible to standard users. In some environments, legacy network shares using unsigned SMB may become inaccessible. Worth testing with IT.</t>
  </si>
  <si>
    <t>Win - Network - D - Delivery Optimization</t>
  </si>
  <si>
    <t>Configures Windows Update Delivery Optimization — controls how update downloads are distributed across the network (P2P vs. direct).</t>
  </si>
  <si>
    <t>Invisible to users. May reduce bandwidth consumption on the network during update rollouts.</t>
  </si>
  <si>
    <t>Win - Apps - U - Microsoft Store</t>
  </si>
  <si>
    <t>Configures user-level Microsoft Store settings — may restrict which apps users can install from the Store.</t>
  </si>
  <si>
    <t>Users attempting to install personal Store apps on work devices may find options limited. IT-approved apps remain available.</t>
  </si>
  <si>
    <t>Win - Apps - D - Microsoft Store</t>
  </si>
  <si>
    <t>Configures device-level Microsoft Store policy — may restrict or control Store access at the device level.</t>
  </si>
  <si>
    <t>Similar to user-level Store policy above. Controls which Store functionality is available at a device (admin) level.</t>
  </si>
  <si>
    <t>Win - Apps - D - Remove Built-In Apps</t>
  </si>
  <si>
    <t>Removes pre-installed Windows apps that are not needed in a business environment (bloatware removal).</t>
  </si>
  <si>
    <t>Users may notice certain pre-installed apps are no longer available (e.g., Candy Crush, Xbox, consumer apps). This is generally a positive change but may confuse users who used those apps.</t>
  </si>
  <si>
    <t>Win - Privacy - D - General</t>
  </si>
  <si>
    <t>Configures Windows privacy and telemetry settings — limits data sent to Microsoft from managed devices.</t>
  </si>
  <si>
    <t>Invisible to users. Some Windows features that rely on telemetry (e.g., suggestions in Start menu) may be reduced or disabled.</t>
  </si>
  <si>
    <t>Win - Experience - D - Windows Spotlight</t>
  </si>
  <si>
    <t>Disables Windows Spotlight (the dynamic lock screen images and tips from Microsoft).</t>
  </si>
  <si>
    <t>Users will notice their lock screen no longer displays rotating Bing images or Windows tips. A static company-approved wallpaper/lock screen may appear instead.</t>
  </si>
  <si>
    <t>Win - Experience - D - Personalization</t>
  </si>
  <si>
    <t>Restricts desktop personalisation options — may prevent users from changing wallpaper, themes, or colour schemes.</t>
  </si>
  <si>
    <t>Users who have customised their desktop appearance may find those settings locked or reset. This is a visible change for users who personalise their environment.</t>
  </si>
  <si>
    <t>Win - Experience - D - Google Chrome</t>
  </si>
  <si>
    <t>Configures Chrome browser experience settings at the device level.</t>
  </si>
  <si>
    <t>Chrome users may see managed settings applied. Similar to the security Chrome policy above.</t>
  </si>
  <si>
    <t>Win - Experience - D - OneDrive</t>
  </si>
  <si>
    <t>Configures OneDrive device-level experience settings — may set sync exclusions, folder redirects, or backup preferences.</t>
  </si>
  <si>
    <t>Depending on specific settings, users may notice OneDrive behaviour changes: certain folders syncing automatically, sync excluded for certain file types, etc.</t>
  </si>
  <si>
    <t>Win - Monitoring - D - WUFB Reports</t>
  </si>
  <si>
    <t>Enables Windows Update for Business reporting — sends update compliance data to Microsoft for admin reporting.</t>
  </si>
  <si>
    <t>Invisible to users. Provides IT admins with better visibility into update compliance.</t>
  </si>
  <si>
    <t>Intune Admin Center &gt; Reports &gt; Windows Update</t>
  </si>
  <si>
    <t>Win - Monitoring - D - Telemetry</t>
  </si>
  <si>
    <t>Configures Windows diagnostic data (telemetry) settings.</t>
  </si>
  <si>
    <t>Invisible to users. Backend reporting configuration.</t>
  </si>
  <si>
    <t>Win - Security - D - Audit And Event Logging</t>
  </si>
  <si>
    <t>Configures Windows audit and security event logging settings.</t>
  </si>
  <si>
    <t>Invisible to users. Enables richer security event logging for incident investigation.</t>
  </si>
  <si>
    <t>Win - Security - D - Device Login &amp; Lock</t>
  </si>
  <si>
    <t>Configures Windows device login and lock screen settings — auto-lock timeouts, sign-in restrictions, screen saver password requirements.</t>
  </si>
  <si>
    <t>Users may notice their device locks faster than before after a period of inactivity, and they may need to re-enter their PIN/password more frequently. Minor day-to-day inconvenience but improves device security.</t>
  </si>
  <si>
    <t>Win - Updates - D - Defender Antivirus</t>
  </si>
  <si>
    <t>Manages update settings for Microsoft Defender Antivirus — signature and engine update schedule.</t>
  </si>
  <si>
    <t>Invisible to users. Defender stays up to date automatically.</t>
  </si>
  <si>
    <t>Company Portal</t>
  </si>
  <si>
    <t>Deploys the Microsoft Intune Company Portal app to managed Windows devices via the Windows Package Manager. The app installs silently as SYSTEM — machine-wide, available to every user on the device.</t>
  </si>
  <si>
    <t>The Company Portal app will appear in Start menu shortly after policy assignment, with no install prompt or user interaction required. On first launch, users may be asked to sign in with their work account to associate the app with their tenant. After that, the app provides a self-service surface for installing other approved corporate apps, viewing compliance status, and contacting IT.</t>
  </si>
  <si>
    <t>Intune Admin Center &gt; Apps &gt; Windows Apps</t>
  </si>
  <si>
    <t>Autopilot Profile for All Devices</t>
  </si>
  <si>
    <t>Configures the Windows Autopilot deployment profile for new device provisioning: single-user setup, EULA and privacy settings hidden, keyboard selection skipped.</t>
  </si>
  <si>
    <t>This affects the out-of-box experience for new or reset Windows devices. New employees receiving a device will experience a streamlined, company-branded setup rather than standard Windows setup. No impact on existing configured devices.</t>
  </si>
  <si>
    <t>Intune Admin Center &gt; Devices &gt; Windows &gt; Windows Enrollment &gt; Deployment Profiles</t>
  </si>
  <si>
    <t>All Users and All Devices (Enrollment Status Page)</t>
  </si>
  <si>
    <t>Displays an Enrollment Status Page during Autopilot setup, showing progress as apps and policies are installed. Users must wait for this to complete before accessing the device.</t>
  </si>
  <si>
    <t>New device setup takes longer as users wait on an Enrollment Status Page. First login can take 15–45+ minutes depending on policies and apps. Users should be prepared for this wait time during device onboarding.</t>
  </si>
  <si>
    <t>Intune Admin Center &gt; Devices &gt; Windows &gt; Windows Enrollment &gt; Enrollment Status Page</t>
  </si>
  <si>
    <t>Win - Security - D - BitLocker</t>
  </si>
  <si>
    <t>Enables and enforces BitLocker full-disk encryption on Windows devices, with recovery keys stored in Azure AD.</t>
  </si>
  <si>
    <t>On unencrypted devices, BitLocker will be silently enabled (if hardware supports it). Users may see a one-time prompt to save a recovery key. On older hardware without compatible TPM, BitLocker may not activate and devices may be non-compliant.</t>
  </si>
  <si>
    <t>Intune Admin Center &gt; Endpoint Security &gt; Disk Encryption</t>
  </si>
  <si>
    <t>iOS - Security - U - MAM (App Protection Policy)</t>
  </si>
  <si>
    <t>Applies an Intune App Protection Policy to iOS/iPadOS devices, requiring PIN to access Microsoft 365 apps, blocking copy-paste of corporate data to personal apps, preventing screen capture, and controlling data sharing between apps.</t>
  </si>
  <si>
    <t>Users accessing company email, Teams, or OneDrive on iPhones/iPads will be required to set up a PIN for those apps. Copy-paste between work apps and personal apps (e.g., copying an email to Notes) will be blocked. This is a significant change for users accustomed to using Microsoft 365 apps on personal phones without restrictions.</t>
  </si>
  <si>
    <t>Intune Admin Center &gt; Apps &gt; App Protection Policies (iOS)</t>
  </si>
  <si>
    <t>Android - Security - U - MAM (App Protection Policy)</t>
  </si>
  <si>
    <t>Same as the iOS policy above, applied to Android devices — enforces PIN, restricts data sharing, blocks corporate data from moving to personal apps.</t>
  </si>
  <si>
    <t>Same as iOS: Android users will need a PIN for Microsoft 365 apps and will have data movement restrictions between work and personal apps. Requires Microsoft apps (Outlook, Teams, OneDrive) rather than generic Android mail clients for company email.</t>
  </si>
  <si>
    <t>Intune Admin Center &gt; Apps &gt; App Protection Policies (Android)</t>
  </si>
  <si>
    <t>Device Compliance Settings (Intune)</t>
  </si>
  <si>
    <t>Sets global Intune compliance settings — e.g., the grace period before a non-compliant device is blocked, and whether non-compliant devices trigger notifications.</t>
  </si>
  <si>
    <t>If a device becomes non-compliant (fails a compliance check), users may receive email notifications and eventually lose access to Microsoft 365 resources. The impact depends on how many devices are currently non-compliant before rollout.</t>
  </si>
  <si>
    <t>Intune Admin Center &gt; Devices &gt; Compliance Settings</t>
  </si>
  <si>
    <t>Unified Audit Logging</t>
  </si>
  <si>
    <t>Enables the Microsoft 365 Unified Audit Log, which records all user and admin activity across Microsoft 365 services for security and compliance purposes.</t>
  </si>
  <si>
    <t>Invisible to users. Does not change any user-facing functionality. Required for compliance monitoring and incident investigation.</t>
  </si>
  <si>
    <t>Microsoft Purview &gt; Audit &gt; Start Recording User and Admin Activity</t>
  </si>
  <si>
    <t>SharePointAllowGuestItemSharing / ExternalUserReshare</t>
  </si>
  <si>
    <t>Prevents external guest users from resharing files and folders with other people outside the organisation. Additionally, the SharePointOneDriveSharingLevel policy sets external sharing to 'authenticated external users only' — meaning anonymous 'Anyone with the link' sharing is disabled.</t>
  </si>
  <si>
    <t>Two visible changes: (1) External users (guests, contractors, clients) who received a shared link can no longer share that link with others. (2) If the customer currently uses anonymous sharing links ('Anyone with the link'), those links will stop working and users will need to share using named guest access instead. The impact of change (2) depends heavily on the customer's current sharing habits — for organisations that heavily rely on anonymous links (e.g., sharing proposals, contracts, or media with clients), this will be immediately disruptive and requires proactive communication and advance notice.</t>
  </si>
  <si>
    <t>SharePoint Admin Center &gt; Policies &gt; Sharing</t>
  </si>
  <si>
    <t>SharePointSiteCreation</t>
  </si>
  <si>
    <t>Configures SharePoint site creation settings — users can still create sites. Sets default storage limits and paths.</t>
  </si>
  <si>
    <t>No change to whether users can create sites. Site storage limits apply (1TB per site by default). Most users won't notice.</t>
  </si>
  <si>
    <t>SharePoint Admin Center &gt; Settings &gt; Site Creation</t>
  </si>
  <si>
    <t>ActivityBasedTimeout</t>
  </si>
  <si>
    <t>Automatically signs users out of SharePoint/OneDrive in a browser after 60 minutes of inactivity (with a 5-minute warning at 55 minutes).</t>
  </si>
  <si>
    <t>Users working in SharePoint via a browser who step away from their desk for over an hour will be signed out and need to sign back in. This may cause loss of unsaved work in browser-based editing scenarios. Users who primarily use desktop apps (Word, Excel) are less affected.</t>
  </si>
  <si>
    <t>SharePoint Admin Center &gt; Policies &gt; Access Control &gt; Idle Session Sign-out</t>
  </si>
  <si>
    <t>UnmanagedOneDriveSyncRestriction</t>
  </si>
  <si>
    <t>Currently configured to NOT restrict OneDrive sync on unmanaged devices (sync is allowed from any device).</t>
  </si>
  <si>
    <t>No restriction applied by this policy in the current configuration. No user impact.</t>
  </si>
  <si>
    <t>SharePoint Admin Center &gt; Settings &gt; OneDrive &gt; Sync</t>
  </si>
  <si>
    <t>SyncFileExclusions</t>
  </si>
  <si>
    <t>No file extensions are currently excluded from OneDrive sync.</t>
  </si>
  <si>
    <t>No change — all file types continue to sync normally.</t>
  </si>
  <si>
    <t>OneDriveRetention / SharePointDeletedUserDefaultRetention</t>
  </si>
  <si>
    <t>When a user account is deleted, their OneDrive content is retained for 60 days before permanent deletion.</t>
  </si>
  <si>
    <t>Invisible to current users. Relevant only during offboarding — their OneDrive data is preserved for 60 days.</t>
  </si>
  <si>
    <t>SharePoint Admin Center &gt; Settings &gt; OneDrive &gt; Retention</t>
  </si>
  <si>
    <t>OneDriveStorageQuota</t>
  </si>
  <si>
    <t>Sets the default OneDrive storage quota to 1TB per user.</t>
  </si>
  <si>
    <t>No impact unless users are near a previously lower limit. Standard 1TB allocation.</t>
  </si>
  <si>
    <t>SharePoint Admin Center &gt; Settings &gt; OneDrive &gt; Storage</t>
  </si>
  <si>
    <t>MacOneDriveSync</t>
  </si>
  <si>
    <t>Enables the OneDrive sync client for Mac devices.</t>
  </si>
  <si>
    <t>No restrictive impact. Mac users can sync OneDrive normally.</t>
  </si>
  <si>
    <t>SharePointOneDriveSharingLevel</t>
  </si>
  <si>
    <t>Sets the tenant-wide SharePoint and OneDrive external sharing ceiling to 'externalUserSharingOnly' — sharing is allowed with authenticated external users (named guests) only, and anonymous 'Anyone with the link' sharing is disabled.</t>
  </si>
  <si>
    <t>Bundled with the ExternalUserReshare policy above. The user-visible change is the removal of the 'Anyone with the link' option from the sharing dialog. Existing anonymous links continue to work until they expire; no new anonymous links can be created. Users will need to use named-guest sharing for any external recipient.</t>
  </si>
  <si>
    <t>Password Expiration Policy</t>
  </si>
  <si>
    <t>Sets passwords to never expire (passwordsNeverExpire = true). Removes the forced password rotation requirement.</t>
  </si>
  <si>
    <t>Users who currently receive periodic password expiry notices will no longer be prompted to change their password on a schedule. For most users this is a relief — but it needs clear communication so users understand the change and don't think something has gone wrong. This is typically delivered alongside MFA enforcement.</t>
  </si>
  <si>
    <t>M365 Admin Center &gt; Settings &gt; Org Settings &gt; Security &amp; Privacy &gt; Password expiration policy</t>
  </si>
  <si>
    <t>DirectoryGuestAccess</t>
  </si>
  <si>
    <t>Sets guest user directory permissions to the most restricted level (guests can only see their own directory object).</t>
  </si>
  <si>
    <t>External guests will have less visibility into the organisation's directory. No impact on internal users.</t>
  </si>
  <si>
    <t>Self-Service Trials and Purchases (28 products)</t>
  </si>
  <si>
    <t>Disables self-service trial sign-ups and purchases for 28 Microsoft products (Power BI, Viva, Copilot, Power Apps, Project, Visio, Teams add-ons, Dynamics 365, etc.).</t>
  </si>
  <si>
    <t>Users who attempt to sign up for free trials or purchase Microsoft add-on products using their own credit card will find this blocked. Admins retain the ability to assign licensed products.</t>
  </si>
  <si>
    <t>M365 Admin Center &gt; Settings &gt; Org Settings &gt; Services &gt; User-owned apps and services</t>
  </si>
  <si>
    <t>Global (Teams Meeting Policy)</t>
  </si>
  <si>
    <t>Comprehensive Teams meeting policy covering: lobby settings (only invited users bypass lobby), watermarks enabled on screen shares and camera video, recording expiration set to 120 days, anonymous users can join but cannot start meetings, local recording disabled (only cloud recording), external meeting chat blocked, copy restriction enabled, Copilot enabled with transcript, participant name changes disabled.</t>
  </si>
  <si>
    <t>Multiple visible changes: (1) Meeting recordings will automatically expire after 120 days — users relying on old recordings should be aware. (2) Watermarks will appear on shared screens and video — visible to all meeting participants. (3) External guests who were previously admitted directly may now be held in the lobby. (4) Participants cannot change their display name during meetings. (5) Local recording to a laptop is disabled — recordings go to OneDrive/SharePoint only. These are meaningful changes to the Teams meeting experience that benefit from advance notice.</t>
  </si>
  <si>
    <t>Teams Admin Center &gt; Meetings &gt; Meeting Policies</t>
  </si>
  <si>
    <t>Excluded / N/A Items — Move rows here when a control does not apply to this client</t>
  </si>
  <si>
    <t>Reason Excluded</t>
  </si>
  <si>
    <t>Excluded By</t>
  </si>
  <si>
    <t>How To Use This Playbook</t>
  </si>
  <si>
    <t>WORKFLOW</t>
  </si>
  <si>
    <t>Step 1 — New engagement</t>
  </si>
  <si>
    <t>Copy this file and rename it for the client (e.g., ClientName_Inforcer_Tier1_2026.xlsx). Do NOT work in the master template.</t>
  </si>
  <si>
    <t>Step 2 — Pre-deployment review</t>
  </si>
  <si>
    <t>Before pushing anything, review all HIGH user-impact rows (red in the Impact column). These require client communication before deployment. Prepare users for: MFA changes, blocking legacy auth, removing local admin rights, SharePoint anonymous link changes, and the Teams meeting policy overhaul.</t>
  </si>
  <si>
    <t>Step 3 — Pre-deployment checks</t>
  </si>
  <si>
    <t>Some policies have specific pre-deployment requirements — check the 'Notes / Pre-Deploy Checks' column, especially for: SmsAuthConfig, VoiceConfig, DefSecSettings, ExternalInOutlook, Token Protection (Windows), and Mail Flow General Settings.</t>
  </si>
  <si>
    <t>Step 4 — Push in Inforcer</t>
  </si>
  <si>
    <t>All policies marked Auto-Remediable = Y (green) are pushed directly from Inforcer. Start with LOW/NONE impact policies first, then MEDIUM, then HIGH after client communication.</t>
  </si>
  <si>
    <t>Step 5 — Manual configurations</t>
  </si>
  <si>
    <t>A small number of policies (N in column H) require manual steps outside Inforcer. Use the Portal Path column to navigate directly to the correct admin center location.</t>
  </si>
  <si>
    <t>Step 6 — Update status</t>
  </si>
  <si>
    <t>As you complete each row, set column J (Status) to 'Done', add the date in column K, and your initials in column L. Use 'Skipped' for conscious decisions not to deploy.</t>
  </si>
  <si>
    <t>Step 7 — Excluded items</t>
  </si>
  <si>
    <t>If a control doesn't apply (wrong license, client exception, VDI environment, etc.), cut the row and paste it into the 🚫 Excluded Items sheet with a reason noted.</t>
  </si>
  <si>
    <t>Step 8 — Dashboard review</t>
  </si>
  <si>
    <t>Check the 📊 Dashboard tab to review % complete per section before closing the engagement or handing off.</t>
  </si>
  <si>
    <t>COLUMN GUIDE</t>
  </si>
  <si>
    <t>HIGH (red) = Users will definitely notice; proactive communication required. MEDIUM (amber) = Some users may notice depending on workflow. LOW/NONE (green) = Backend or admin-level change; users unlikely to notice.</t>
  </si>
  <si>
    <t>Auto-Remediable (H)</t>
  </si>
  <si>
    <t>Y (green) = Inforcer can push this policy automatically via the Blueprint. N = requires manual configuration in the appropriate admin portal.</t>
  </si>
  <si>
    <t>License (I)</t>
  </si>
  <si>
    <t>Green cells = requires Microsoft 365 Business Premium or equivalent add-on (Entra P1, MDO P1, Intune P1, MDE P1). White = available on all M365 plans.</t>
  </si>
  <si>
    <t>Status options</t>
  </si>
  <si>
    <t>Not Started | In Progress | Done | Skipped (conscious decision not to deploy) | N/A (move row to 🚫 Excluded Items sheet)</t>
  </si>
  <si>
    <t>DEPLOYMENT ORDER — RECOMMENDED</t>
  </si>
  <si>
    <t>Phase 1 — Silent/safe first</t>
  </si>
  <si>
    <t>Push all LOW/NONE impact items that are auto-remediable. These deploy quietly with no user disruption. Good to push immediately after onboarding the tenant to Inforcer.</t>
  </si>
  <si>
    <t>Phase 2 — Communicate then push</t>
  </si>
  <si>
    <t>HIGH and MEDIUM impact policies should be batched and communicated to the client before deployment. Prepare a one-pager or email for users explaining: MFA setup, legacy auth block, local admin removal, SharePoint sharing changes, and Teams meeting policy changes.</t>
  </si>
  <si>
    <t>Phase 3 — Validate</t>
  </si>
  <si>
    <t>After deployment, verify compliance in Inforcer and confirm all policies show green (compliant) in the baseline report. Cross-reference with the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</si>
</sst>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5"/>
      <color rgb="FFFFFFFF"/>
      <name val="Arial"/>
      <charset val="1"/>
    </font>
    <font>
      <i/>
      <sz val="9"/>
      <color rgb="FFAAAAAA"/>
      <name val="Arial"/>
      <charset val="1"/>
    </font>
    <font>
      <b/>
      <sz val="9"/>
      <color rgb="FFFFFFFF"/>
      <name val="Arial"/>
      <charset val="1"/>
    </font>
    <font>
      <b/>
      <sz val="20"/>
      <color rgb="FF0F6E56"/>
      <name val="Arial"/>
      <charset val="1"/>
    </font>
    <font>
      <b/>
      <sz val="10"/>
      <color rgb="FFFFFFFF"/>
      <name val="Arial"/>
      <charset val="1"/>
    </font>
    <font>
      <sz val="9"/>
      <color rgb="FF000000"/>
      <name val="Arial"/>
      <charset val="1"/>
    </font>
    <font>
      <b/>
      <sz val="9"/>
      <color rgb="FFB71C1C"/>
      <name val="Arial"/>
      <charset val="1"/>
    </font>
    <font>
      <b/>
      <sz val="9"/>
      <color rgb="FFE65100"/>
      <name val="Arial"/>
      <charset val="1"/>
    </font>
    <font>
      <b/>
      <sz val="9"/>
      <color rgb="FF1B5E20"/>
      <name val="Arial"/>
      <charset val="1"/>
    </font>
    <font>
      <b/>
      <sz val="9"/>
      <color rgb="FF856404"/>
      <name val="Arial"/>
      <charset val="1"/>
    </font>
    <font>
      <b/>
      <sz val="9"/>
      <color rgb="FF3949AB"/>
      <name val="Arial"/>
      <charset val="1"/>
    </font>
    <font>
      <b/>
      <sz val="12"/>
      <color rgb="FFFFFFFF"/>
      <name val="Arial"/>
      <charset val="1"/>
    </font>
    <font>
      <b/>
      <sz val="9"/>
      <color rgb="FF155724"/>
      <name val="Arial"/>
      <charset val="1"/>
    </font>
    <font>
      <b/>
      <sz val="9"/>
      <color rgb="FF085041"/>
      <name val="Arial"/>
      <charset val="1"/>
    </font>
    <font>
      <b/>
      <sz val="11"/>
      <color rgb="FFFFFFFF"/>
      <name val="Arial"/>
      <charset val="1"/>
    </font>
    <font>
      <b/>
      <sz val="13"/>
      <color rgb="FFFFFFFF"/>
      <name val="Arial"/>
      <charset val="1"/>
    </font>
  </fonts>
  <fills count="18">
    <fill>
      <patternFill patternType="none"/>
    </fill>
    <fill>
      <patternFill patternType="gray125"/>
    </fill>
    <fill>
      <patternFill patternType="solid">
        <fgColor rgb="FF085041"/>
        <bgColor rgb="FF155724"/>
      </patternFill>
    </fill>
    <fill>
      <patternFill patternType="solid">
        <fgColor rgb="FF1A1A2E"/>
        <bgColor rgb="FF000000"/>
      </patternFill>
    </fill>
    <fill>
      <patternFill patternType="solid">
        <fgColor rgb="FF0F6E56"/>
        <bgColor rgb="FF008080"/>
      </patternFill>
    </fill>
    <fill>
      <patternFill patternType="solid">
        <fgColor rgb="FFF0FAF6"/>
        <bgColor rgb="FFF5F5F5"/>
      </patternFill>
    </fill>
    <fill>
      <patternFill patternType="solid">
        <fgColor rgb="FF1D9E75"/>
        <bgColor rgb="FF008080"/>
      </patternFill>
    </fill>
    <fill>
      <patternFill patternType="solid">
        <fgColor rgb="FF2D5A4F"/>
        <bgColor rgb="FF1B5E20"/>
      </patternFill>
    </fill>
    <fill>
      <patternFill patternType="solid">
        <fgColor rgb="FFFFFFFF"/>
        <bgColor rgb="FFF0FAF6"/>
      </patternFill>
    </fill>
    <fill>
      <patternFill patternType="solid">
        <fgColor rgb="FFFDECEA"/>
        <bgColor rgb="FFF9F0FF"/>
      </patternFill>
    </fill>
    <fill>
      <patternFill patternType="solid">
        <fgColor rgb="FFFFF8E1"/>
        <bgColor rgb="FFFFF3CD"/>
      </patternFill>
    </fill>
    <fill>
      <patternFill patternType="solid">
        <fgColor rgb="FFFFF3CD"/>
        <bgColor rgb="FFFFF8E1"/>
      </patternFill>
    </fill>
    <fill>
      <patternFill patternType="solid">
        <fgColor rgb="FFE8EAF6"/>
        <bgColor rgb="FFE1F5EE"/>
      </patternFill>
    </fill>
    <fill>
      <patternFill patternType="solid">
        <fgColor rgb="FFC8F0DC"/>
        <bgColor rgb="FFE1F5EE"/>
      </patternFill>
    </fill>
    <fill>
      <patternFill patternType="solid">
        <fgColor rgb="FFE1F5EE"/>
        <bgColor rgb="FFF0FAF6"/>
      </patternFill>
    </fill>
    <fill>
      <patternFill patternType="solid">
        <fgColor rgb="FF6C3483"/>
        <bgColor rgb="FF7D3C98"/>
      </patternFill>
    </fill>
    <fill>
      <patternFill patternType="solid">
        <fgColor rgb="FF7D3C98"/>
        <bgColor rgb="FF6C3483"/>
      </patternFill>
    </fill>
    <fill>
      <patternFill patternType="solid">
        <fgColor rgb="FFF9F0FF"/>
        <b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xfId="0"/>
    <xf numFmtId="0" fontId="5" fillId="6" borderId="1" xfId="0" applyFont="1" applyFill="1" applyBorder="1" applyAlignment="1">
      <alignment horizontal="left" vertical="center" indent="1"/>
    </xf>
    <xf numFmtId="0" fontId="16" fillId="2" borderId="0" xfId="0" applyFont="1" applyFill="1" applyAlignment="1">
      <alignment horizontal="center" vertical="center"/>
    </xf>
    <xf numFmtId="0" fontId="15" fillId="15" borderId="0" xfId="0" applyFont="1" applyFill="1" applyAlignment="1">
      <alignment horizontal="center" vertical="center"/>
    </xf>
    <xf numFmtId="0" fontId="12" fillId="2" borderId="0" xfId="0" applyFont="1" applyFill="1" applyAlignment="1">
      <alignment horizontal="center" vertical="center"/>
    </xf>
    <xf numFmtId="0" fontId="3" fillId="4" borderId="0" xfId="0" applyFont="1" applyFill="1" applyAlignment="1">
      <alignment horizontal="center"/>
    </xf>
    <xf numFmtId="0" fontId="5" fillId="6"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applyAlignment="1">
      <alignment horizontal="center" vertical="center" wrapText="1"/>
    </xf>
    <xf numFmtId="0" fontId="4" fillId="5" borderId="0" xfId="0" applyFont="1" applyFill="1" applyAlignment="1">
      <alignment horizontal="center" vertical="center" wrapText="1"/>
    </xf>
    <xf numFmtId="9" fontId="4" fillId="5" borderId="0" xfId="0" applyNumberFormat="1" applyFont="1" applyFill="1" applyAlignment="1">
      <alignment horizontal="center" vertical="center" wrapText="1"/>
    </xf>
    <xf numFmtId="0" fontId="3" fillId="7" borderId="0" xfId="0" applyFont="1" applyFill="1" applyAlignment="1">
      <alignment horizontal="center" vertical="center" wrapText="1"/>
    </xf>
    <xf numFmtId="0" fontId="6" fillId="5" borderId="1" xfId="0" applyFont="1" applyFill="1" applyBorder="1" applyAlignment="1">
      <alignment horizontal="left" vertical="center" indent="1"/>
    </xf>
    <xf numFmtId="0" fontId="6" fillId="5" borderId="1" xfId="0" applyFont="1" applyFill="1" applyBorder="1" applyAlignment="1">
      <alignment horizontal="center" vertical="center" wrapText="1"/>
    </xf>
    <xf numFmtId="9" fontId="6" fillId="5" borderId="1" xfId="0" applyNumberFormat="1" applyFont="1" applyFill="1" applyBorder="1" applyAlignment="1">
      <alignment horizontal="center" vertical="center" wrapText="1"/>
    </xf>
    <xf numFmtId="0" fontId="6" fillId="8" borderId="1" xfId="0" applyFont="1" applyFill="1" applyBorder="1" applyAlignment="1">
      <alignment horizontal="left" vertical="center" indent="1"/>
    </xf>
    <xf numFmtId="0" fontId="6" fillId="8" borderId="1" xfId="0" applyFont="1" applyFill="1" applyBorder="1" applyAlignment="1">
      <alignment horizontal="center" vertical="center" wrapText="1"/>
    </xf>
    <xf numFmtId="9" fontId="6" fillId="8"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7" fillId="9" borderId="1" xfId="0" applyFont="1" applyFill="1" applyBorder="1" applyAlignment="1">
      <alignment horizontal="center" vertical="top" wrapText="1"/>
    </xf>
    <xf numFmtId="0" fontId="13" fillId="13" borderId="1" xfId="0" applyFont="1" applyFill="1" applyBorder="1" applyAlignment="1">
      <alignment horizontal="center" vertical="top" wrapText="1"/>
    </xf>
    <xf numFmtId="0" fontId="14" fillId="14" borderId="1" xfId="0" applyFont="1" applyFill="1" applyBorder="1" applyAlignment="1">
      <alignment horizontal="left" vertical="top" wrapText="1"/>
    </xf>
    <xf numFmtId="0" fontId="6" fillId="8"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8" fillId="10"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3" fillId="16" borderId="1" xfId="0" applyFont="1" applyFill="1" applyBorder="1" applyAlignment="1">
      <alignment horizontal="center" vertical="center" wrapText="1"/>
    </xf>
    <xf numFmtId="0" fontId="0" fillId="17" borderId="1" xfId="0" applyFill="1" applyBorder="1"/>
    <xf numFmtId="0" fontId="14" fillId="8" borderId="1" xfId="0" applyFont="1" applyFill="1" applyBorder="1" applyAlignment="1">
      <alignment horizontal="left" vertical="top" wrapText="1"/>
    </xf>
    <xf numFmtId="0" fontId="14" fillId="5" borderId="1" xfId="0" applyFont="1" applyFill="1" applyBorder="1" applyAlignment="1">
      <alignment horizontal="left" vertical="top" wrapText="1"/>
    </xf>
  </cellXfs>
  <cellStyles count="1">
    <cellStyle name="Normal" xfId="0" builtinId="0"/>
  </cellStyles>
  <dxfs count="4">
    <dxf>
      <fill>
        <patternFill>
          <bgColor rgb="FFE8EAF6"/>
        </patternFill>
      </fill>
    </dxf>
    <dxf>
      <fill>
        <patternFill>
          <bgColor rgb="FFF5F5F5"/>
        </patternFill>
      </fill>
    </dxf>
    <dxf>
      <fill>
        <patternFill>
          <bgColor rgb="FFFFF3CD"/>
        </patternFill>
      </fill>
    </dxf>
    <dxf>
      <fill>
        <patternFill>
          <bgColor rgb="FFC8F0D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56404"/>
      <rgbColor rgb="FF800080"/>
      <rgbColor rgb="FF0F6E56"/>
      <rgbColor rgb="FFCCCCCC"/>
      <rgbColor rgb="FF808080"/>
      <rgbColor rgb="FF9999FF"/>
      <rgbColor rgb="FF7D3C98"/>
      <rgbColor rgb="FFFFF8E1"/>
      <rgbColor rgb="FFE1F5EE"/>
      <rgbColor rgb="FF660066"/>
      <rgbColor rgb="FFFF8080"/>
      <rgbColor rgb="FF0066CC"/>
      <rgbColor rgb="FFE8EAF6"/>
      <rgbColor rgb="FF000080"/>
      <rgbColor rgb="FFFF00FF"/>
      <rgbColor rgb="FFFFFF00"/>
      <rgbColor rgb="FF00FFFF"/>
      <rgbColor rgb="FF800080"/>
      <rgbColor rgb="FF800000"/>
      <rgbColor rgb="FF008080"/>
      <rgbColor rgb="FF0000FF"/>
      <rgbColor rgb="FF00CCFF"/>
      <rgbColor rgb="FFF0FAF6"/>
      <rgbColor rgb="FFC8F0DC"/>
      <rgbColor rgb="FFFFF3CD"/>
      <rgbColor rgb="FFF9F0FF"/>
      <rgbColor rgb="FFF5F5F5"/>
      <rgbColor rgb="FFCC99FF"/>
      <rgbColor rgb="FFFDECEA"/>
      <rgbColor rgb="FF3366FF"/>
      <rgbColor rgb="FF33CCCC"/>
      <rgbColor rgb="FF99CC00"/>
      <rgbColor rgb="FFFFCC00"/>
      <rgbColor rgb="FFFF9900"/>
      <rgbColor rgb="FFE65100"/>
      <rgbColor rgb="FF666699"/>
      <rgbColor rgb="FFAAAAAA"/>
      <rgbColor rgb="FF085041"/>
      <rgbColor rgb="FF1D9E75"/>
      <rgbColor rgb="FF155724"/>
      <rgbColor rgb="FF2D5A4F"/>
      <rgbColor rgb="FFB71C1C"/>
      <rgbColor rgb="FF6C3483"/>
      <rgbColor rgb="FF3949AB"/>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1"/>
  <sheetViews>
    <sheetView showGridLines="0" zoomScaleNormal="100" workbookViewId="0"/>
  </sheetViews>
  <sheetFormatPr defaultColWidth="8.7109375" defaultRowHeight="15" x14ac:dyDescent="0.25"/>
  <cols>
    <col min="1" max="1" width="3" customWidth="1"/>
    <col min="2" max="2" width="32" customWidth="1"/>
    <col min="3" max="6" width="14" customWidth="1"/>
    <col min="7" max="7" width="3" customWidth="1"/>
  </cols>
  <sheetData>
    <row r="1" spans="2:6" ht="36" customHeight="1" x14ac:dyDescent="0.25">
      <c r="B1" s="8" t="s">
        <v>0</v>
      </c>
      <c r="C1" s="8"/>
      <c r="D1" s="8"/>
      <c r="E1" s="8"/>
      <c r="F1" s="8"/>
    </row>
    <row r="2" spans="2:6" ht="18" customHeight="1" x14ac:dyDescent="0.25">
      <c r="B2" s="7" t="s">
        <v>1</v>
      </c>
      <c r="C2" s="7"/>
      <c r="D2" s="7"/>
      <c r="E2" s="7"/>
      <c r="F2" s="7"/>
    </row>
    <row r="3" spans="2:6" ht="7.5" customHeight="1" x14ac:dyDescent="0.25"/>
    <row r="4" spans="2:6" ht="18" customHeight="1" x14ac:dyDescent="0.25">
      <c r="B4" s="9" t="s">
        <v>2</v>
      </c>
      <c r="C4" s="9" t="s">
        <v>3</v>
      </c>
      <c r="D4" s="9" t="s">
        <v>4</v>
      </c>
      <c r="E4" s="9" t="s">
        <v>5</v>
      </c>
      <c r="F4" s="9" t="s">
        <v>6</v>
      </c>
    </row>
    <row r="5" spans="2:6" ht="37.5" customHeight="1" x14ac:dyDescent="0.25">
      <c r="B5" s="10">
        <f>COUNTA('✅ Checklist'!A:A)-1</f>
        <v>123</v>
      </c>
      <c r="C5" s="10">
        <f>COUNTIF('✅ Checklist'!J:J,"Not Started")</f>
        <v>122</v>
      </c>
      <c r="D5" s="10">
        <f>COUNTIF('✅ Checklist'!J:J,"In Progress")</f>
        <v>0</v>
      </c>
      <c r="E5" s="10">
        <f>COUNTIF('✅ Checklist'!J:J,"Done")</f>
        <v>0</v>
      </c>
      <c r="F5" s="11">
        <f>IFERROR(E5/B5,0)</f>
        <v>0</v>
      </c>
    </row>
    <row r="6" spans="2:6" ht="7.5" customHeight="1" x14ac:dyDescent="0.25"/>
    <row r="7" spans="2:6" ht="19.5" customHeight="1" x14ac:dyDescent="0.25">
      <c r="B7" s="6" t="s">
        <v>7</v>
      </c>
      <c r="C7" s="6"/>
      <c r="D7" s="6"/>
      <c r="E7" s="6"/>
      <c r="F7" s="6"/>
    </row>
    <row r="8" spans="2:6" ht="18" customHeight="1" x14ac:dyDescent="0.25">
      <c r="B8" s="12" t="s">
        <v>8</v>
      </c>
      <c r="C8" s="12" t="s">
        <v>9</v>
      </c>
      <c r="D8" s="12" t="s">
        <v>5</v>
      </c>
      <c r="E8" s="12" t="s">
        <v>4</v>
      </c>
      <c r="F8" s="12" t="s">
        <v>10</v>
      </c>
    </row>
    <row r="9" spans="2:6" ht="15.75" customHeight="1" x14ac:dyDescent="0.25">
      <c r="B9" s="13" t="s">
        <v>11</v>
      </c>
      <c r="C9" s="14">
        <f>COUNTIF('✅ Checklist'!B:B,"Collaboration — SharePoint &amp; OneDrive")</f>
        <v>9</v>
      </c>
      <c r="D9" s="14">
        <f>COUNTIFS('✅ Checklist'!B:B,"Collaboration — SharePoint &amp; OneDrive",'✅ Checklist'!J:J,"Done")</f>
        <v>0</v>
      </c>
      <c r="E9" s="14">
        <f>COUNTIFS('✅ Checklist'!B:B,"Collaboration — SharePoint &amp; OneDrive",'✅ Checklist'!J:J,"In Progress")</f>
        <v>0</v>
      </c>
      <c r="F9" s="15">
        <f t="shared" ref="F9:F17" si="0">IFERROR(D9/C9,0)</f>
        <v>0</v>
      </c>
    </row>
    <row r="10" spans="2:6" ht="15.75" customHeight="1" x14ac:dyDescent="0.25">
      <c r="B10" s="16" t="s">
        <v>12</v>
      </c>
      <c r="C10" s="17">
        <f>COUNTIF('✅ Checklist'!B:B,"Data Protection — Microsoft Purview")</f>
        <v>1</v>
      </c>
      <c r="D10" s="17">
        <f>COUNTIFS('✅ Checklist'!B:B,"Data Protection — Microsoft Purview",'✅ Checklist'!J:J,"Done")</f>
        <v>0</v>
      </c>
      <c r="E10" s="17">
        <f>COUNTIFS('✅ Checklist'!B:B,"Data Protection — Microsoft Purview",'✅ Checklist'!J:J,"In Progress")</f>
        <v>0</v>
      </c>
      <c r="F10" s="18">
        <f t="shared" si="0"/>
        <v>0</v>
      </c>
    </row>
    <row r="11" spans="2:6" ht="15.75" customHeight="1" x14ac:dyDescent="0.25">
      <c r="B11" s="13" t="s">
        <v>13</v>
      </c>
      <c r="C11" s="14">
        <f>COUNTIF('✅ Checklist'!B:B,"Email &amp; Threat Protection")</f>
        <v>12</v>
      </c>
      <c r="D11" s="14">
        <f>COUNTIFS('✅ Checklist'!B:B,"Email &amp; Threat Protection",'✅ Checklist'!J:J,"Done")</f>
        <v>0</v>
      </c>
      <c r="E11" s="14">
        <f>COUNTIFS('✅ Checklist'!B:B,"Email &amp; Threat Protection",'✅ Checklist'!J:J,"In Progress")</f>
        <v>0</v>
      </c>
      <c r="F11" s="15">
        <f t="shared" si="0"/>
        <v>0</v>
      </c>
    </row>
    <row r="12" spans="2:6" ht="15.75" customHeight="1" x14ac:dyDescent="0.25">
      <c r="B12" s="16" t="s">
        <v>14</v>
      </c>
      <c r="C12" s="17">
        <f>COUNTIF('✅ Checklist'!B:B,"Endpoint Management — Mobile")</f>
        <v>3</v>
      </c>
      <c r="D12" s="17">
        <f>COUNTIFS('✅ Checklist'!B:B,"Endpoint Management — Mobile",'✅ Checklist'!J:J,"Done")</f>
        <v>0</v>
      </c>
      <c r="E12" s="17">
        <f>COUNTIFS('✅ Checklist'!B:B,"Endpoint Management — Mobile",'✅ Checklist'!J:J,"In Progress")</f>
        <v>0</v>
      </c>
      <c r="F12" s="18">
        <f t="shared" si="0"/>
        <v>0</v>
      </c>
    </row>
    <row r="13" spans="2:6" ht="15.75" customHeight="1" x14ac:dyDescent="0.25">
      <c r="B13" s="13" t="s">
        <v>15</v>
      </c>
      <c r="C13" s="14">
        <f>COUNTIF('✅ Checklist'!B:B,"Endpoint Management — Windows")</f>
        <v>56</v>
      </c>
      <c r="D13" s="14">
        <f>COUNTIFS('✅ Checklist'!B:B,"Endpoint Management — Windows",'✅ Checklist'!J:J,"Done")</f>
        <v>0</v>
      </c>
      <c r="E13" s="14">
        <f>COUNTIFS('✅ Checklist'!B:B,"Endpoint Management — Windows",'✅ Checklist'!J:J,"In Progress")</f>
        <v>0</v>
      </c>
      <c r="F13" s="15">
        <f t="shared" si="0"/>
        <v>0</v>
      </c>
    </row>
    <row r="14" spans="2:6" ht="15.75" customHeight="1" x14ac:dyDescent="0.25">
      <c r="B14" s="16" t="s">
        <v>16</v>
      </c>
      <c r="C14" s="17">
        <f>COUNTIF('✅ Checklist'!B:B,"Identity &amp; Access — Authentication Methods")</f>
        <v>24</v>
      </c>
      <c r="D14" s="17">
        <f>COUNTIFS('✅ Checklist'!B:B,"Identity &amp; Access — Authentication Methods",'✅ Checklist'!J:J,"Done")</f>
        <v>0</v>
      </c>
      <c r="E14" s="17">
        <f>COUNTIFS('✅ Checklist'!B:B,"Identity &amp; Access — Authentication Methods",'✅ Checklist'!J:J,"In Progress")</f>
        <v>0</v>
      </c>
      <c r="F14" s="18">
        <f t="shared" si="0"/>
        <v>0</v>
      </c>
    </row>
    <row r="15" spans="2:6" ht="15.75" customHeight="1" x14ac:dyDescent="0.25">
      <c r="B15" s="13" t="s">
        <v>17</v>
      </c>
      <c r="C15" s="14">
        <f>COUNTIF('✅ Checklist'!B:B,"Identity &amp; Access — Conditional Access")</f>
        <v>13</v>
      </c>
      <c r="D15" s="14">
        <f>COUNTIFS('✅ Checklist'!B:B,"Identity &amp; Access — Conditional Access",'✅ Checklist'!J:J,"Done")</f>
        <v>0</v>
      </c>
      <c r="E15" s="14">
        <f>COUNTIFS('✅ Checklist'!B:B,"Identity &amp; Access — Conditional Access",'✅ Checklist'!J:J,"In Progress")</f>
        <v>0</v>
      </c>
      <c r="F15" s="15">
        <f t="shared" si="0"/>
        <v>0</v>
      </c>
    </row>
    <row r="16" spans="2:6" ht="15.75" customHeight="1" x14ac:dyDescent="0.25">
      <c r="B16" s="16" t="s">
        <v>18</v>
      </c>
      <c r="C16" s="17">
        <f>COUNTIF('✅ Checklist'!B:B,"M365 Admin Settings")</f>
        <v>3</v>
      </c>
      <c r="D16" s="17">
        <f>COUNTIFS('✅ Checklist'!B:B,"M365 Admin Settings",'✅ Checklist'!J:J,"Done")</f>
        <v>0</v>
      </c>
      <c r="E16" s="17">
        <f>COUNTIFS('✅ Checklist'!B:B,"M365 Admin Settings",'✅ Checklist'!J:J,"In Progress")</f>
        <v>0</v>
      </c>
      <c r="F16" s="18">
        <f t="shared" si="0"/>
        <v>0</v>
      </c>
    </row>
    <row r="17" spans="2:6" ht="15.75" customHeight="1" x14ac:dyDescent="0.25">
      <c r="B17" s="13" t="s">
        <v>19</v>
      </c>
      <c r="C17" s="14">
        <f>COUNTIF('✅ Checklist'!B:B,"Microsoft Teams")</f>
        <v>1</v>
      </c>
      <c r="D17" s="14">
        <f>COUNTIFS('✅ Checklist'!B:B,"Microsoft Teams",'✅ Checklist'!J:J,"Done")</f>
        <v>0</v>
      </c>
      <c r="E17" s="14">
        <f>COUNTIFS('✅ Checklist'!B:B,"Microsoft Teams",'✅ Checklist'!J:J,"In Progress")</f>
        <v>0</v>
      </c>
      <c r="F17" s="15">
        <f t="shared" si="0"/>
        <v>0</v>
      </c>
    </row>
    <row r="20" spans="2:6" ht="18" customHeight="1" x14ac:dyDescent="0.25">
      <c r="B20" s="5" t="s">
        <v>20</v>
      </c>
      <c r="C20" s="5"/>
      <c r="D20" s="5"/>
      <c r="E20" s="5"/>
      <c r="F20" s="5"/>
    </row>
    <row r="21" spans="2:6" ht="18" customHeight="1" x14ac:dyDescent="0.25">
      <c r="B21" s="19" t="s">
        <v>21</v>
      </c>
      <c r="C21" s="20" t="s">
        <v>22</v>
      </c>
      <c r="D21" s="21" t="s">
        <v>23</v>
      </c>
      <c r="E21" s="22" t="s">
        <v>24</v>
      </c>
      <c r="F21" s="23" t="s">
        <v>25</v>
      </c>
    </row>
  </sheetData>
  <mergeCells count="4">
    <mergeCell ref="B1:F1"/>
    <mergeCell ref="B2:F2"/>
    <mergeCell ref="B7:F7"/>
    <mergeCell ref="B20:F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4"/>
  <sheetViews>
    <sheetView showGridLines="0" zoomScaleNormal="100" workbookViewId="0">
      <pane ySplit="2" topLeftCell="A3" activePane="bottomLeft" state="frozen"/>
      <selection pane="bottomLeft" activeCell="K3" sqref="K3"/>
    </sheetView>
  </sheetViews>
  <sheetFormatPr defaultColWidth="8.7109375" defaultRowHeight="15" x14ac:dyDescent="0.25"/>
  <cols>
    <col min="1" max="1" width="5" customWidth="1"/>
    <col min="2" max="2" width="30" customWidth="1"/>
    <col min="3" max="3" width="38" customWidth="1"/>
    <col min="4" max="4" width="12" customWidth="1"/>
    <col min="5" max="5" width="48" customWidth="1"/>
    <col min="6" max="6" width="52" customWidth="1"/>
    <col min="7" max="7" width="42" customWidth="1"/>
    <col min="8" max="8" width="12" customWidth="1"/>
    <col min="9" max="9" width="22" customWidth="1"/>
    <col min="10" max="10" width="18" customWidth="1"/>
    <col min="11" max="11" width="14" customWidth="1"/>
    <col min="12" max="12" width="10" customWidth="1"/>
    <col min="13" max="13" width="40" customWidth="1"/>
  </cols>
  <sheetData>
    <row r="1" spans="1:13" ht="25.5" customHeight="1" x14ac:dyDescent="0.25">
      <c r="A1" s="4" t="s">
        <v>26</v>
      </c>
      <c r="B1" s="4"/>
      <c r="C1" s="4"/>
      <c r="D1" s="4"/>
      <c r="E1" s="4"/>
      <c r="F1" s="4"/>
      <c r="G1" s="4"/>
      <c r="H1" s="4"/>
      <c r="I1" s="4"/>
      <c r="J1" s="4"/>
      <c r="K1" s="4"/>
      <c r="L1" s="4"/>
      <c r="M1" s="4"/>
    </row>
    <row r="2" spans="1:13" ht="30" customHeight="1" x14ac:dyDescent="0.25">
      <c r="A2" s="24" t="s">
        <v>27</v>
      </c>
      <c r="B2" s="24" t="s">
        <v>8</v>
      </c>
      <c r="C2" s="24" t="s">
        <v>28</v>
      </c>
      <c r="D2" s="24" t="s">
        <v>29</v>
      </c>
      <c r="E2" s="24" t="s">
        <v>30</v>
      </c>
      <c r="F2" s="24" t="s">
        <v>31</v>
      </c>
      <c r="G2" s="24" t="s">
        <v>32</v>
      </c>
      <c r="H2" s="24" t="s">
        <v>33</v>
      </c>
      <c r="I2" s="24" t="s">
        <v>34</v>
      </c>
      <c r="J2" s="24" t="s">
        <v>35</v>
      </c>
      <c r="K2" s="24" t="s">
        <v>36</v>
      </c>
      <c r="L2" s="24" t="s">
        <v>37</v>
      </c>
      <c r="M2" s="24" t="s">
        <v>38</v>
      </c>
    </row>
    <row r="3" spans="1:13" ht="60" customHeight="1" x14ac:dyDescent="0.25">
      <c r="A3" s="25">
        <v>1</v>
      </c>
      <c r="B3" s="26" t="s">
        <v>17</v>
      </c>
      <c r="C3" s="26" t="s">
        <v>39</v>
      </c>
      <c r="D3" s="27" t="s">
        <v>40</v>
      </c>
      <c r="E3" s="26" t="s">
        <v>41</v>
      </c>
      <c r="F3" s="26" t="s">
        <v>42</v>
      </c>
      <c r="G3" s="26" t="s">
        <v>43</v>
      </c>
      <c r="H3" s="28" t="s">
        <v>44</v>
      </c>
      <c r="I3" s="29" t="s">
        <v>45</v>
      </c>
      <c r="J3" s="25" t="s">
        <v>3</v>
      </c>
      <c r="K3" s="25"/>
      <c r="L3" s="25"/>
      <c r="M3" s="26"/>
    </row>
    <row r="4" spans="1:13" ht="60" customHeight="1" x14ac:dyDescent="0.25">
      <c r="A4" s="30">
        <v>2</v>
      </c>
      <c r="B4" s="31" t="s">
        <v>17</v>
      </c>
      <c r="C4" s="31" t="s">
        <v>46</v>
      </c>
      <c r="D4" s="27" t="s">
        <v>40</v>
      </c>
      <c r="E4" s="31" t="s">
        <v>47</v>
      </c>
      <c r="F4" s="31" t="s">
        <v>48</v>
      </c>
      <c r="G4" s="31" t="s">
        <v>43</v>
      </c>
      <c r="H4" s="28" t="s">
        <v>44</v>
      </c>
      <c r="I4" s="29" t="s">
        <v>45</v>
      </c>
      <c r="J4" s="30" t="s">
        <v>3</v>
      </c>
      <c r="K4" s="30"/>
      <c r="L4" s="30"/>
      <c r="M4" s="31"/>
    </row>
    <row r="5" spans="1:13" ht="60" customHeight="1" x14ac:dyDescent="0.25">
      <c r="A5" s="25">
        <v>3</v>
      </c>
      <c r="B5" s="26" t="s">
        <v>17</v>
      </c>
      <c r="C5" s="26" t="s">
        <v>49</v>
      </c>
      <c r="D5" s="27" t="s">
        <v>40</v>
      </c>
      <c r="E5" s="26" t="s">
        <v>50</v>
      </c>
      <c r="F5" s="26" t="s">
        <v>51</v>
      </c>
      <c r="G5" s="26" t="s">
        <v>43</v>
      </c>
      <c r="H5" s="28" t="s">
        <v>44</v>
      </c>
      <c r="I5" s="29" t="s">
        <v>45</v>
      </c>
      <c r="J5" s="25" t="s">
        <v>3</v>
      </c>
      <c r="K5" s="25"/>
      <c r="L5" s="25"/>
      <c r="M5" s="26"/>
    </row>
    <row r="6" spans="1:13" ht="60" customHeight="1" x14ac:dyDescent="0.25">
      <c r="A6" s="30">
        <v>4</v>
      </c>
      <c r="B6" s="31" t="s">
        <v>17</v>
      </c>
      <c r="C6" s="31" t="s">
        <v>52</v>
      </c>
      <c r="D6" s="32" t="s">
        <v>53</v>
      </c>
      <c r="E6" s="31" t="s">
        <v>54</v>
      </c>
      <c r="F6" s="31" t="s">
        <v>55</v>
      </c>
      <c r="G6" s="31" t="s">
        <v>43</v>
      </c>
      <c r="H6" s="28" t="s">
        <v>44</v>
      </c>
      <c r="I6" s="29" t="s">
        <v>45</v>
      </c>
      <c r="J6" s="30" t="s">
        <v>3</v>
      </c>
      <c r="K6" s="30"/>
      <c r="L6" s="30"/>
      <c r="M6" s="31"/>
    </row>
    <row r="7" spans="1:13" ht="60" customHeight="1" x14ac:dyDescent="0.25">
      <c r="A7" s="25">
        <v>5</v>
      </c>
      <c r="B7" s="26" t="s">
        <v>17</v>
      </c>
      <c r="C7" s="26" t="s">
        <v>56</v>
      </c>
      <c r="D7" s="32" t="s">
        <v>53</v>
      </c>
      <c r="E7" s="26" t="s">
        <v>57</v>
      </c>
      <c r="F7" s="26" t="s">
        <v>58</v>
      </c>
      <c r="G7" s="26" t="s">
        <v>43</v>
      </c>
      <c r="H7" s="28" t="s">
        <v>44</v>
      </c>
      <c r="I7" s="29" t="s">
        <v>45</v>
      </c>
      <c r="J7" s="25" t="s">
        <v>3</v>
      </c>
      <c r="K7" s="25"/>
      <c r="L7" s="25"/>
      <c r="M7" s="26"/>
    </row>
    <row r="8" spans="1:13" ht="60" customHeight="1" x14ac:dyDescent="0.25">
      <c r="A8" s="30">
        <v>6</v>
      </c>
      <c r="B8" s="31" t="s">
        <v>17</v>
      </c>
      <c r="C8" s="31" t="s">
        <v>59</v>
      </c>
      <c r="D8" s="27" t="s">
        <v>40</v>
      </c>
      <c r="E8" s="31" t="s">
        <v>60</v>
      </c>
      <c r="F8" s="31" t="s">
        <v>61</v>
      </c>
      <c r="G8" s="31" t="s">
        <v>43</v>
      </c>
      <c r="H8" s="28" t="s">
        <v>44</v>
      </c>
      <c r="I8" s="29" t="s">
        <v>45</v>
      </c>
      <c r="J8" s="30" t="s">
        <v>3</v>
      </c>
      <c r="K8" s="30"/>
      <c r="L8" s="30"/>
      <c r="M8" s="31"/>
    </row>
    <row r="9" spans="1:13" ht="60" customHeight="1" x14ac:dyDescent="0.25">
      <c r="A9" s="25">
        <v>7</v>
      </c>
      <c r="B9" s="26" t="s">
        <v>17</v>
      </c>
      <c r="C9" s="26" t="s">
        <v>62</v>
      </c>
      <c r="D9" s="33" t="s">
        <v>63</v>
      </c>
      <c r="E9" s="26" t="s">
        <v>64</v>
      </c>
      <c r="F9" s="26" t="s">
        <v>65</v>
      </c>
      <c r="G9" s="26" t="s">
        <v>43</v>
      </c>
      <c r="H9" s="28" t="s">
        <v>44</v>
      </c>
      <c r="I9" s="29" t="s">
        <v>45</v>
      </c>
      <c r="J9" s="25" t="s">
        <v>3</v>
      </c>
      <c r="K9" s="25"/>
      <c r="L9" s="25"/>
      <c r="M9" s="26"/>
    </row>
    <row r="10" spans="1:13" ht="60" customHeight="1" x14ac:dyDescent="0.25">
      <c r="A10" s="30">
        <v>8</v>
      </c>
      <c r="B10" s="31" t="s">
        <v>17</v>
      </c>
      <c r="C10" s="31" t="s">
        <v>66</v>
      </c>
      <c r="D10" s="33" t="s">
        <v>63</v>
      </c>
      <c r="E10" s="31" t="s">
        <v>67</v>
      </c>
      <c r="F10" s="31" t="s">
        <v>68</v>
      </c>
      <c r="G10" s="31" t="s">
        <v>43</v>
      </c>
      <c r="H10" s="28" t="s">
        <v>44</v>
      </c>
      <c r="I10" s="29" t="s">
        <v>45</v>
      </c>
      <c r="J10" s="30" t="s">
        <v>3</v>
      </c>
      <c r="K10" s="30"/>
      <c r="L10" s="30"/>
      <c r="M10" s="31"/>
    </row>
    <row r="11" spans="1:13" ht="60" customHeight="1" x14ac:dyDescent="0.25">
      <c r="A11" s="25">
        <v>9</v>
      </c>
      <c r="B11" s="26" t="s">
        <v>17</v>
      </c>
      <c r="C11" s="26" t="s">
        <v>69</v>
      </c>
      <c r="D11" s="27" t="s">
        <v>40</v>
      </c>
      <c r="E11" s="26" t="s">
        <v>70</v>
      </c>
      <c r="F11" s="26" t="s">
        <v>71</v>
      </c>
      <c r="G11" s="26" t="s">
        <v>43</v>
      </c>
      <c r="H11" s="28" t="s">
        <v>44</v>
      </c>
      <c r="I11" s="29" t="s">
        <v>45</v>
      </c>
      <c r="J11" s="25" t="s">
        <v>3</v>
      </c>
      <c r="K11" s="25"/>
      <c r="L11" s="25"/>
      <c r="M11" s="26"/>
    </row>
    <row r="12" spans="1:13" ht="60" customHeight="1" x14ac:dyDescent="0.25">
      <c r="A12" s="30">
        <v>10</v>
      </c>
      <c r="B12" s="31" t="s">
        <v>17</v>
      </c>
      <c r="C12" s="31" t="s">
        <v>72</v>
      </c>
      <c r="D12" s="32" t="s">
        <v>53</v>
      </c>
      <c r="E12" s="31" t="s">
        <v>73</v>
      </c>
      <c r="F12" s="31" t="s">
        <v>74</v>
      </c>
      <c r="G12" s="31" t="s">
        <v>43</v>
      </c>
      <c r="H12" s="28" t="s">
        <v>44</v>
      </c>
      <c r="I12" s="29" t="s">
        <v>75</v>
      </c>
      <c r="J12" s="30" t="s">
        <v>3</v>
      </c>
      <c r="K12" s="30"/>
      <c r="L12" s="30"/>
      <c r="M12" s="31"/>
    </row>
    <row r="13" spans="1:13" ht="60" customHeight="1" x14ac:dyDescent="0.25">
      <c r="A13" s="25">
        <v>11</v>
      </c>
      <c r="B13" s="26" t="s">
        <v>17</v>
      </c>
      <c r="C13" s="26" t="s">
        <v>76</v>
      </c>
      <c r="D13" s="27" t="s">
        <v>40</v>
      </c>
      <c r="E13" s="26" t="s">
        <v>77</v>
      </c>
      <c r="F13" s="26" t="s">
        <v>78</v>
      </c>
      <c r="G13" s="26" t="s">
        <v>43</v>
      </c>
      <c r="H13" s="28" t="s">
        <v>44</v>
      </c>
      <c r="I13" s="29" t="s">
        <v>75</v>
      </c>
      <c r="J13" s="25" t="s">
        <v>3</v>
      </c>
      <c r="K13" s="25"/>
      <c r="L13" s="25"/>
      <c r="M13" s="26"/>
    </row>
    <row r="14" spans="1:13" ht="60" customHeight="1" x14ac:dyDescent="0.25">
      <c r="A14" s="30">
        <v>12</v>
      </c>
      <c r="B14" s="31" t="s">
        <v>17</v>
      </c>
      <c r="C14" s="31" t="s">
        <v>79</v>
      </c>
      <c r="D14" s="32" t="s">
        <v>53</v>
      </c>
      <c r="E14" s="31" t="s">
        <v>80</v>
      </c>
      <c r="F14" s="31" t="s">
        <v>81</v>
      </c>
      <c r="G14" s="31" t="s">
        <v>43</v>
      </c>
      <c r="H14" s="28" t="s">
        <v>44</v>
      </c>
      <c r="I14" s="29" t="s">
        <v>45</v>
      </c>
      <c r="J14" s="30" t="s">
        <v>3</v>
      </c>
      <c r="K14" s="30"/>
      <c r="L14" s="30"/>
      <c r="M14" s="31"/>
    </row>
    <row r="15" spans="1:13" ht="60" customHeight="1" x14ac:dyDescent="0.25">
      <c r="A15" s="25">
        <v>13</v>
      </c>
      <c r="B15" s="26" t="s">
        <v>17</v>
      </c>
      <c r="C15" s="26" t="s">
        <v>82</v>
      </c>
      <c r="D15" s="32" t="s">
        <v>53</v>
      </c>
      <c r="E15" s="26" t="s">
        <v>83</v>
      </c>
      <c r="F15" s="26" t="s">
        <v>84</v>
      </c>
      <c r="G15" s="26" t="s">
        <v>43</v>
      </c>
      <c r="H15" s="28" t="s">
        <v>44</v>
      </c>
      <c r="I15" s="29" t="s">
        <v>45</v>
      </c>
      <c r="J15" s="25" t="s">
        <v>3</v>
      </c>
      <c r="K15" s="25"/>
      <c r="L15" s="25"/>
      <c r="M15" s="26"/>
    </row>
    <row r="16" spans="1:13" ht="60" customHeight="1" x14ac:dyDescent="0.25">
      <c r="A16" s="30">
        <v>14</v>
      </c>
      <c r="B16" s="31" t="s">
        <v>16</v>
      </c>
      <c r="C16" s="31" t="s">
        <v>85</v>
      </c>
      <c r="D16" s="32" t="s">
        <v>53</v>
      </c>
      <c r="E16" s="31" t="s">
        <v>86</v>
      </c>
      <c r="F16" s="31" t="s">
        <v>87</v>
      </c>
      <c r="G16" s="31" t="s">
        <v>88</v>
      </c>
      <c r="H16" s="28" t="s">
        <v>44</v>
      </c>
      <c r="I16" s="29" t="s">
        <v>45</v>
      </c>
      <c r="J16" s="30" t="s">
        <v>3</v>
      </c>
      <c r="K16" s="30"/>
      <c r="L16" s="30"/>
      <c r="M16" s="31"/>
    </row>
    <row r="17" spans="1:13" ht="60" customHeight="1" x14ac:dyDescent="0.25">
      <c r="A17" s="25">
        <v>15</v>
      </c>
      <c r="B17" s="26" t="s">
        <v>16</v>
      </c>
      <c r="C17" s="26" t="s">
        <v>89</v>
      </c>
      <c r="D17" s="32" t="s">
        <v>53</v>
      </c>
      <c r="E17" s="26" t="s">
        <v>90</v>
      </c>
      <c r="F17" s="26" t="s">
        <v>91</v>
      </c>
      <c r="G17" s="26" t="s">
        <v>92</v>
      </c>
      <c r="H17" s="28" t="s">
        <v>44</v>
      </c>
      <c r="I17" s="29" t="s">
        <v>45</v>
      </c>
      <c r="J17" s="25" t="s">
        <v>3</v>
      </c>
      <c r="K17" s="25"/>
      <c r="L17" s="25"/>
      <c r="M17" s="26"/>
    </row>
    <row r="18" spans="1:13" ht="60" customHeight="1" x14ac:dyDescent="0.25">
      <c r="A18" s="30">
        <v>16</v>
      </c>
      <c r="B18" s="31" t="s">
        <v>16</v>
      </c>
      <c r="C18" s="31" t="s">
        <v>93</v>
      </c>
      <c r="D18" s="27" t="s">
        <v>40</v>
      </c>
      <c r="E18" s="31" t="s">
        <v>94</v>
      </c>
      <c r="F18" s="31" t="s">
        <v>95</v>
      </c>
      <c r="G18" s="31" t="s">
        <v>96</v>
      </c>
      <c r="H18" s="28" t="s">
        <v>44</v>
      </c>
      <c r="I18" s="29" t="s">
        <v>45</v>
      </c>
      <c r="J18" s="30" t="s">
        <v>3</v>
      </c>
      <c r="K18" s="30"/>
      <c r="L18" s="30"/>
      <c r="M18" s="31"/>
    </row>
    <row r="19" spans="1:13" ht="60" customHeight="1" x14ac:dyDescent="0.25">
      <c r="A19" s="25">
        <v>17</v>
      </c>
      <c r="B19" s="26" t="s">
        <v>16</v>
      </c>
      <c r="C19" s="26" t="s">
        <v>97</v>
      </c>
      <c r="D19" s="33" t="s">
        <v>63</v>
      </c>
      <c r="E19" s="26" t="s">
        <v>98</v>
      </c>
      <c r="F19" s="26" t="s">
        <v>99</v>
      </c>
      <c r="G19" s="26" t="s">
        <v>100</v>
      </c>
      <c r="H19" s="28" t="s">
        <v>44</v>
      </c>
      <c r="I19" s="29" t="s">
        <v>45</v>
      </c>
      <c r="J19" s="25" t="s">
        <v>3</v>
      </c>
      <c r="K19" s="25"/>
      <c r="L19" s="25"/>
      <c r="M19" s="26"/>
    </row>
    <row r="20" spans="1:13" ht="60" customHeight="1" x14ac:dyDescent="0.25">
      <c r="A20" s="30">
        <v>18</v>
      </c>
      <c r="B20" s="31" t="s">
        <v>16</v>
      </c>
      <c r="C20" s="31" t="s">
        <v>101</v>
      </c>
      <c r="D20" s="27" t="s">
        <v>40</v>
      </c>
      <c r="E20" s="31" t="s">
        <v>102</v>
      </c>
      <c r="F20" s="31" t="s">
        <v>103</v>
      </c>
      <c r="G20" s="31" t="s">
        <v>104</v>
      </c>
      <c r="H20" s="28" t="s">
        <v>44</v>
      </c>
      <c r="I20" s="29" t="s">
        <v>45</v>
      </c>
      <c r="J20" s="30" t="s">
        <v>3</v>
      </c>
      <c r="K20" s="30"/>
      <c r="L20" s="30"/>
      <c r="M20" s="31"/>
    </row>
    <row r="21" spans="1:13" ht="60" customHeight="1" x14ac:dyDescent="0.25">
      <c r="A21" s="25">
        <v>19</v>
      </c>
      <c r="B21" s="26" t="s">
        <v>16</v>
      </c>
      <c r="C21" s="26" t="s">
        <v>105</v>
      </c>
      <c r="D21" s="27" t="s">
        <v>40</v>
      </c>
      <c r="E21" s="26" t="s">
        <v>106</v>
      </c>
      <c r="F21" s="26" t="s">
        <v>107</v>
      </c>
      <c r="G21" s="26" t="s">
        <v>108</v>
      </c>
      <c r="H21" s="28" t="s">
        <v>44</v>
      </c>
      <c r="I21" s="29" t="s">
        <v>45</v>
      </c>
      <c r="J21" s="25" t="s">
        <v>3</v>
      </c>
      <c r="K21" s="25"/>
      <c r="L21" s="25"/>
      <c r="M21" s="26"/>
    </row>
    <row r="22" spans="1:13" ht="60" customHeight="1" x14ac:dyDescent="0.25">
      <c r="A22" s="30">
        <v>20</v>
      </c>
      <c r="B22" s="31" t="s">
        <v>16</v>
      </c>
      <c r="C22" s="31" t="s">
        <v>109</v>
      </c>
      <c r="D22" s="33" t="s">
        <v>63</v>
      </c>
      <c r="E22" s="31" t="s">
        <v>110</v>
      </c>
      <c r="F22" s="31" t="s">
        <v>111</v>
      </c>
      <c r="G22" s="31" t="s">
        <v>112</v>
      </c>
      <c r="H22" s="28" t="s">
        <v>44</v>
      </c>
      <c r="I22" s="29" t="s">
        <v>45</v>
      </c>
      <c r="J22" s="30" t="s">
        <v>3</v>
      </c>
      <c r="K22" s="30"/>
      <c r="L22" s="30"/>
      <c r="M22" s="31"/>
    </row>
    <row r="23" spans="1:13" ht="60" customHeight="1" x14ac:dyDescent="0.25">
      <c r="A23" s="25">
        <v>21</v>
      </c>
      <c r="B23" s="26" t="s">
        <v>16</v>
      </c>
      <c r="C23" s="26" t="s">
        <v>113</v>
      </c>
      <c r="D23" s="33" t="s">
        <v>63</v>
      </c>
      <c r="E23" s="26" t="s">
        <v>114</v>
      </c>
      <c r="F23" s="26" t="s">
        <v>115</v>
      </c>
      <c r="G23" s="26" t="s">
        <v>116</v>
      </c>
      <c r="H23" s="28" t="s">
        <v>44</v>
      </c>
      <c r="I23" s="29" t="s">
        <v>45</v>
      </c>
      <c r="J23" s="25" t="s">
        <v>3</v>
      </c>
      <c r="K23" s="25"/>
      <c r="L23" s="25"/>
      <c r="M23" s="26"/>
    </row>
    <row r="24" spans="1:13" ht="60" customHeight="1" x14ac:dyDescent="0.25">
      <c r="A24" s="30">
        <v>22</v>
      </c>
      <c r="B24" s="31" t="s">
        <v>16</v>
      </c>
      <c r="C24" s="31" t="s">
        <v>117</v>
      </c>
      <c r="D24" s="33" t="s">
        <v>63</v>
      </c>
      <c r="E24" s="31" t="s">
        <v>118</v>
      </c>
      <c r="F24" s="31" t="s">
        <v>119</v>
      </c>
      <c r="G24" s="31" t="s">
        <v>120</v>
      </c>
      <c r="H24" s="28" t="s">
        <v>44</v>
      </c>
      <c r="I24" s="29" t="s">
        <v>45</v>
      </c>
      <c r="J24" s="30" t="s">
        <v>3</v>
      </c>
      <c r="K24" s="30"/>
      <c r="L24" s="30"/>
      <c r="M24" s="31"/>
    </row>
    <row r="25" spans="1:13" ht="60" customHeight="1" x14ac:dyDescent="0.25">
      <c r="A25" s="25">
        <v>23</v>
      </c>
      <c r="B25" s="26" t="s">
        <v>16</v>
      </c>
      <c r="C25" s="26" t="s">
        <v>121</v>
      </c>
      <c r="D25" s="33" t="s">
        <v>63</v>
      </c>
      <c r="E25" s="26" t="s">
        <v>122</v>
      </c>
      <c r="F25" s="26" t="s">
        <v>123</v>
      </c>
      <c r="G25" s="26" t="s">
        <v>124</v>
      </c>
      <c r="H25" s="28" t="s">
        <v>44</v>
      </c>
      <c r="I25" s="29" t="s">
        <v>45</v>
      </c>
      <c r="J25" s="25" t="s">
        <v>3</v>
      </c>
      <c r="K25" s="25"/>
      <c r="L25" s="25"/>
      <c r="M25" s="26"/>
    </row>
    <row r="26" spans="1:13" ht="60" customHeight="1" x14ac:dyDescent="0.25">
      <c r="A26" s="30">
        <v>24</v>
      </c>
      <c r="B26" s="31" t="s">
        <v>16</v>
      </c>
      <c r="C26" s="31" t="s">
        <v>125</v>
      </c>
      <c r="D26" s="33" t="s">
        <v>63</v>
      </c>
      <c r="E26" s="31" t="s">
        <v>126</v>
      </c>
      <c r="F26" s="31" t="s">
        <v>127</v>
      </c>
      <c r="G26" s="31" t="s">
        <v>128</v>
      </c>
      <c r="H26" s="28" t="s">
        <v>44</v>
      </c>
      <c r="I26" s="29" t="s">
        <v>45</v>
      </c>
      <c r="J26" s="30" t="s">
        <v>3</v>
      </c>
      <c r="K26" s="30"/>
      <c r="L26" s="30"/>
      <c r="M26" s="31"/>
    </row>
    <row r="27" spans="1:13" ht="60" customHeight="1" x14ac:dyDescent="0.25">
      <c r="A27" s="25">
        <v>25</v>
      </c>
      <c r="B27" s="26" t="s">
        <v>16</v>
      </c>
      <c r="C27" s="26" t="s">
        <v>129</v>
      </c>
      <c r="D27" s="32" t="s">
        <v>53</v>
      </c>
      <c r="E27" s="26" t="s">
        <v>130</v>
      </c>
      <c r="F27" s="26" t="s">
        <v>131</v>
      </c>
      <c r="G27" s="26" t="s">
        <v>132</v>
      </c>
      <c r="H27" s="28" t="s">
        <v>44</v>
      </c>
      <c r="I27" s="29" t="s">
        <v>45</v>
      </c>
      <c r="J27" s="25" t="s">
        <v>3</v>
      </c>
      <c r="K27" s="25"/>
      <c r="L27" s="25"/>
      <c r="M27" s="26"/>
    </row>
    <row r="28" spans="1:13" ht="60" customHeight="1" x14ac:dyDescent="0.25">
      <c r="A28" s="30">
        <v>26</v>
      </c>
      <c r="B28" s="31" t="s">
        <v>16</v>
      </c>
      <c r="C28" s="31" t="s">
        <v>133</v>
      </c>
      <c r="D28" s="33" t="s">
        <v>63</v>
      </c>
      <c r="E28" s="31" t="s">
        <v>134</v>
      </c>
      <c r="F28" s="31" t="s">
        <v>135</v>
      </c>
      <c r="G28" s="31" t="s">
        <v>136</v>
      </c>
      <c r="H28" s="28" t="s">
        <v>44</v>
      </c>
      <c r="I28" s="29" t="s">
        <v>45</v>
      </c>
      <c r="J28" s="30" t="s">
        <v>3</v>
      </c>
      <c r="K28" s="30"/>
      <c r="L28" s="30"/>
      <c r="M28" s="31"/>
    </row>
    <row r="29" spans="1:13" ht="60" customHeight="1" x14ac:dyDescent="0.25">
      <c r="A29" s="25">
        <v>27</v>
      </c>
      <c r="B29" s="26" t="s">
        <v>16</v>
      </c>
      <c r="C29" s="26" t="s">
        <v>137</v>
      </c>
      <c r="D29" s="32" t="s">
        <v>53</v>
      </c>
      <c r="E29" s="26" t="s">
        <v>138</v>
      </c>
      <c r="F29" s="26" t="s">
        <v>139</v>
      </c>
      <c r="G29" s="26" t="s">
        <v>140</v>
      </c>
      <c r="H29" s="28" t="s">
        <v>44</v>
      </c>
      <c r="I29" s="29" t="s">
        <v>45</v>
      </c>
      <c r="J29" s="25" t="s">
        <v>3</v>
      </c>
      <c r="K29" s="25"/>
      <c r="L29" s="25"/>
      <c r="M29" s="26"/>
    </row>
    <row r="30" spans="1:13" ht="60" customHeight="1" x14ac:dyDescent="0.25">
      <c r="A30" s="30">
        <v>28</v>
      </c>
      <c r="B30" s="31" t="s">
        <v>16</v>
      </c>
      <c r="C30" s="31" t="s">
        <v>141</v>
      </c>
      <c r="D30" s="33" t="s">
        <v>63</v>
      </c>
      <c r="E30" s="31" t="s">
        <v>142</v>
      </c>
      <c r="F30" s="31" t="s">
        <v>143</v>
      </c>
      <c r="G30" s="31" t="s">
        <v>144</v>
      </c>
      <c r="H30" s="28" t="s">
        <v>44</v>
      </c>
      <c r="I30" s="29" t="s">
        <v>45</v>
      </c>
      <c r="J30" s="30" t="s">
        <v>3</v>
      </c>
      <c r="K30" s="30"/>
      <c r="L30" s="30"/>
      <c r="M30" s="31"/>
    </row>
    <row r="31" spans="1:13" ht="60" customHeight="1" x14ac:dyDescent="0.25">
      <c r="A31" s="25">
        <v>29</v>
      </c>
      <c r="B31" s="26" t="s">
        <v>16</v>
      </c>
      <c r="C31" s="26" t="s">
        <v>145</v>
      </c>
      <c r="D31" s="33" t="s">
        <v>63</v>
      </c>
      <c r="E31" s="26" t="s">
        <v>146</v>
      </c>
      <c r="F31" s="26" t="s">
        <v>147</v>
      </c>
      <c r="G31" s="26" t="s">
        <v>148</v>
      </c>
      <c r="H31" s="28" t="s">
        <v>44</v>
      </c>
      <c r="I31" s="29" t="s">
        <v>45</v>
      </c>
      <c r="J31" s="25" t="s">
        <v>3</v>
      </c>
      <c r="K31" s="25"/>
      <c r="L31" s="25"/>
      <c r="M31" s="26"/>
    </row>
    <row r="32" spans="1:13" ht="60" customHeight="1" x14ac:dyDescent="0.25">
      <c r="A32" s="30">
        <v>30</v>
      </c>
      <c r="B32" s="31" t="s">
        <v>16</v>
      </c>
      <c r="C32" s="31" t="s">
        <v>149</v>
      </c>
      <c r="D32" s="33" t="s">
        <v>63</v>
      </c>
      <c r="E32" s="31" t="s">
        <v>150</v>
      </c>
      <c r="F32" s="31" t="s">
        <v>151</v>
      </c>
      <c r="G32" s="31" t="s">
        <v>152</v>
      </c>
      <c r="H32" s="28" t="s">
        <v>44</v>
      </c>
      <c r="I32" s="29" t="s">
        <v>45</v>
      </c>
      <c r="J32" s="30" t="s">
        <v>3</v>
      </c>
      <c r="K32" s="30"/>
      <c r="L32" s="30"/>
      <c r="M32" s="31"/>
    </row>
    <row r="33" spans="1:13" ht="60" customHeight="1" x14ac:dyDescent="0.25">
      <c r="A33" s="25">
        <v>31</v>
      </c>
      <c r="B33" s="26" t="s">
        <v>16</v>
      </c>
      <c r="C33" s="26" t="s">
        <v>153</v>
      </c>
      <c r="D33" s="33" t="s">
        <v>63</v>
      </c>
      <c r="E33" s="26" t="s">
        <v>154</v>
      </c>
      <c r="F33" s="26" t="s">
        <v>155</v>
      </c>
      <c r="G33" s="26" t="s">
        <v>156</v>
      </c>
      <c r="H33" s="28" t="s">
        <v>44</v>
      </c>
      <c r="I33" s="29" t="s">
        <v>45</v>
      </c>
      <c r="J33" s="25" t="s">
        <v>3</v>
      </c>
      <c r="K33" s="25"/>
      <c r="L33" s="25"/>
      <c r="M33" s="26"/>
    </row>
    <row r="34" spans="1:13" ht="60" customHeight="1" x14ac:dyDescent="0.25">
      <c r="A34" s="30">
        <v>32</v>
      </c>
      <c r="B34" s="31" t="s">
        <v>16</v>
      </c>
      <c r="C34" s="31" t="s">
        <v>157</v>
      </c>
      <c r="D34" s="33" t="s">
        <v>63</v>
      </c>
      <c r="E34" s="31" t="s">
        <v>158</v>
      </c>
      <c r="F34" s="31" t="s">
        <v>159</v>
      </c>
      <c r="G34" s="31" t="s">
        <v>136</v>
      </c>
      <c r="H34" s="28" t="s">
        <v>44</v>
      </c>
      <c r="I34" s="29" t="s">
        <v>45</v>
      </c>
      <c r="J34" s="30" t="s">
        <v>3</v>
      </c>
      <c r="K34" s="30"/>
      <c r="L34" s="30"/>
      <c r="M34" s="31"/>
    </row>
    <row r="35" spans="1:13" ht="60" customHeight="1" x14ac:dyDescent="0.25">
      <c r="A35" s="25">
        <v>33</v>
      </c>
      <c r="B35" s="26" t="s">
        <v>16</v>
      </c>
      <c r="C35" s="26" t="s">
        <v>160</v>
      </c>
      <c r="D35" s="33" t="s">
        <v>63</v>
      </c>
      <c r="E35" s="26" t="s">
        <v>161</v>
      </c>
      <c r="F35" s="26" t="s">
        <v>162</v>
      </c>
      <c r="G35" s="26" t="s">
        <v>156</v>
      </c>
      <c r="H35" s="28" t="s">
        <v>44</v>
      </c>
      <c r="I35" s="29" t="s">
        <v>45</v>
      </c>
      <c r="J35" s="25" t="s">
        <v>3</v>
      </c>
      <c r="K35" s="25"/>
      <c r="L35" s="25"/>
      <c r="M35" s="26"/>
    </row>
    <row r="36" spans="1:13" ht="60" customHeight="1" x14ac:dyDescent="0.25">
      <c r="A36" s="30">
        <v>34</v>
      </c>
      <c r="B36" s="31" t="s">
        <v>16</v>
      </c>
      <c r="C36" s="31" t="s">
        <v>163</v>
      </c>
      <c r="D36" s="33" t="s">
        <v>63</v>
      </c>
      <c r="E36" s="31" t="s">
        <v>164</v>
      </c>
      <c r="F36" s="31" t="s">
        <v>165</v>
      </c>
      <c r="G36" s="31" t="s">
        <v>166</v>
      </c>
      <c r="H36" s="28" t="s">
        <v>44</v>
      </c>
      <c r="I36" s="29" t="s">
        <v>45</v>
      </c>
      <c r="J36" s="30" t="s">
        <v>3</v>
      </c>
      <c r="K36" s="30"/>
      <c r="L36" s="30"/>
      <c r="M36" s="31"/>
    </row>
    <row r="37" spans="1:13" ht="60" customHeight="1" x14ac:dyDescent="0.25">
      <c r="A37" s="25">
        <v>35</v>
      </c>
      <c r="B37" s="26" t="s">
        <v>16</v>
      </c>
      <c r="C37" s="26" t="s">
        <v>167</v>
      </c>
      <c r="D37" s="33" t="s">
        <v>63</v>
      </c>
      <c r="E37" s="26" t="s">
        <v>168</v>
      </c>
      <c r="F37" s="26" t="s">
        <v>169</v>
      </c>
      <c r="G37" s="26" t="s">
        <v>170</v>
      </c>
      <c r="H37" s="28" t="s">
        <v>44</v>
      </c>
      <c r="I37" s="29" t="s">
        <v>45</v>
      </c>
      <c r="J37" s="25" t="s">
        <v>3</v>
      </c>
      <c r="K37" s="25"/>
      <c r="L37" s="25"/>
      <c r="M37" s="26"/>
    </row>
    <row r="38" spans="1:13" ht="60" customHeight="1" x14ac:dyDescent="0.25">
      <c r="A38" s="30">
        <v>36</v>
      </c>
      <c r="B38" s="31" t="s">
        <v>16</v>
      </c>
      <c r="C38" s="31" t="s">
        <v>171</v>
      </c>
      <c r="D38" s="33" t="s">
        <v>63</v>
      </c>
      <c r="E38" s="31" t="s">
        <v>172</v>
      </c>
      <c r="F38" s="31" t="s">
        <v>173</v>
      </c>
      <c r="G38" s="31" t="s">
        <v>174</v>
      </c>
      <c r="H38" s="28" t="s">
        <v>44</v>
      </c>
      <c r="I38" s="29" t="s">
        <v>45</v>
      </c>
      <c r="J38" s="30" t="s">
        <v>3</v>
      </c>
      <c r="K38" s="30"/>
      <c r="L38" s="30"/>
      <c r="M38" s="31"/>
    </row>
    <row r="39" spans="1:13" ht="60" customHeight="1" x14ac:dyDescent="0.25">
      <c r="A39" s="25">
        <v>37</v>
      </c>
      <c r="B39" s="26" t="s">
        <v>16</v>
      </c>
      <c r="C39" s="26" t="s">
        <v>175</v>
      </c>
      <c r="D39" s="25" t="s">
        <v>176</v>
      </c>
      <c r="E39" s="26" t="s">
        <v>177</v>
      </c>
      <c r="F39" s="26" t="s">
        <v>178</v>
      </c>
      <c r="G39" s="26" t="s">
        <v>179</v>
      </c>
      <c r="H39" s="28" t="s">
        <v>44</v>
      </c>
      <c r="I39" s="29" t="s">
        <v>45</v>
      </c>
      <c r="J39" s="25" t="s">
        <v>3</v>
      </c>
      <c r="K39" s="25"/>
      <c r="L39" s="25"/>
      <c r="M39" s="26"/>
    </row>
    <row r="40" spans="1:13" ht="60" customHeight="1" x14ac:dyDescent="0.25">
      <c r="A40" s="30">
        <v>38</v>
      </c>
      <c r="B40" s="31" t="s">
        <v>13</v>
      </c>
      <c r="C40" s="31" t="s">
        <v>180</v>
      </c>
      <c r="D40" s="32" t="s">
        <v>53</v>
      </c>
      <c r="E40" s="31" t="s">
        <v>181</v>
      </c>
      <c r="F40" s="31" t="s">
        <v>182</v>
      </c>
      <c r="G40" s="31" t="s">
        <v>183</v>
      </c>
      <c r="H40" s="28" t="s">
        <v>44</v>
      </c>
      <c r="I40" s="29" t="s">
        <v>184</v>
      </c>
      <c r="J40" s="30" t="s">
        <v>3</v>
      </c>
      <c r="K40" s="30"/>
      <c r="L40" s="30"/>
      <c r="M40" s="31"/>
    </row>
    <row r="41" spans="1:13" ht="60" customHeight="1" x14ac:dyDescent="0.25">
      <c r="A41" s="25">
        <v>39</v>
      </c>
      <c r="B41" s="26" t="s">
        <v>13</v>
      </c>
      <c r="C41" s="26" t="s">
        <v>185</v>
      </c>
      <c r="D41" s="33" t="s">
        <v>63</v>
      </c>
      <c r="E41" s="26" t="s">
        <v>186</v>
      </c>
      <c r="F41" s="26" t="s">
        <v>187</v>
      </c>
      <c r="G41" s="26" t="s">
        <v>188</v>
      </c>
      <c r="H41" s="28" t="s">
        <v>44</v>
      </c>
      <c r="I41" s="29" t="s">
        <v>45</v>
      </c>
      <c r="J41" s="25" t="s">
        <v>3</v>
      </c>
      <c r="K41" s="25"/>
      <c r="L41" s="25"/>
      <c r="M41" s="26"/>
    </row>
    <row r="42" spans="1:13" ht="60" customHeight="1" x14ac:dyDescent="0.25">
      <c r="A42" s="30">
        <v>40</v>
      </c>
      <c r="B42" s="31" t="s">
        <v>13</v>
      </c>
      <c r="C42" s="31" t="s">
        <v>189</v>
      </c>
      <c r="D42" s="32" t="s">
        <v>53</v>
      </c>
      <c r="E42" s="31" t="s">
        <v>190</v>
      </c>
      <c r="F42" s="31" t="s">
        <v>191</v>
      </c>
      <c r="G42" s="31" t="s">
        <v>192</v>
      </c>
      <c r="H42" s="28" t="s">
        <v>44</v>
      </c>
      <c r="I42" s="29" t="s">
        <v>184</v>
      </c>
      <c r="J42" s="30" t="s">
        <v>3</v>
      </c>
      <c r="K42" s="30"/>
      <c r="L42" s="30"/>
      <c r="M42" s="31"/>
    </row>
    <row r="43" spans="1:13" ht="60" customHeight="1" x14ac:dyDescent="0.25">
      <c r="A43" s="25">
        <v>41</v>
      </c>
      <c r="B43" s="26" t="s">
        <v>13</v>
      </c>
      <c r="C43" s="26" t="s">
        <v>193</v>
      </c>
      <c r="D43" s="32" t="s">
        <v>53</v>
      </c>
      <c r="E43" s="26" t="s">
        <v>194</v>
      </c>
      <c r="F43" s="26" t="s">
        <v>195</v>
      </c>
      <c r="G43" s="26" t="s">
        <v>196</v>
      </c>
      <c r="H43" s="28" t="s">
        <v>44</v>
      </c>
      <c r="I43" s="29" t="s">
        <v>184</v>
      </c>
      <c r="J43" s="25" t="s">
        <v>3</v>
      </c>
      <c r="K43" s="25"/>
      <c r="L43" s="25"/>
      <c r="M43" s="26"/>
    </row>
    <row r="44" spans="1:13" ht="60" customHeight="1" x14ac:dyDescent="0.25">
      <c r="A44" s="30">
        <v>42</v>
      </c>
      <c r="B44" s="31" t="s">
        <v>13</v>
      </c>
      <c r="C44" s="31" t="s">
        <v>197</v>
      </c>
      <c r="D44" s="32" t="s">
        <v>53</v>
      </c>
      <c r="E44" s="31" t="s">
        <v>198</v>
      </c>
      <c r="F44" s="31" t="s">
        <v>199</v>
      </c>
      <c r="G44" s="31" t="s">
        <v>200</v>
      </c>
      <c r="H44" s="28" t="s">
        <v>44</v>
      </c>
      <c r="I44" s="29" t="s">
        <v>45</v>
      </c>
      <c r="J44" s="30" t="s">
        <v>3</v>
      </c>
      <c r="K44" s="30"/>
      <c r="L44" s="30"/>
      <c r="M44" s="31"/>
    </row>
    <row r="45" spans="1:13" ht="60" customHeight="1" x14ac:dyDescent="0.25">
      <c r="A45" s="25">
        <v>43</v>
      </c>
      <c r="B45" s="26" t="s">
        <v>13</v>
      </c>
      <c r="C45" s="26" t="s">
        <v>201</v>
      </c>
      <c r="D45" s="33" t="s">
        <v>63</v>
      </c>
      <c r="E45" s="26" t="s">
        <v>202</v>
      </c>
      <c r="F45" s="26" t="s">
        <v>203</v>
      </c>
      <c r="G45" s="26" t="s">
        <v>204</v>
      </c>
      <c r="H45" s="28" t="s">
        <v>44</v>
      </c>
      <c r="I45" s="29" t="s">
        <v>45</v>
      </c>
      <c r="J45" s="25" t="s">
        <v>3</v>
      </c>
      <c r="K45" s="25"/>
      <c r="L45" s="25"/>
      <c r="M45" s="26"/>
    </row>
    <row r="46" spans="1:13" ht="60" customHeight="1" x14ac:dyDescent="0.25">
      <c r="A46" s="30">
        <v>44</v>
      </c>
      <c r="B46" s="31" t="s">
        <v>13</v>
      </c>
      <c r="C46" s="31" t="s">
        <v>205</v>
      </c>
      <c r="D46" s="33" t="s">
        <v>63</v>
      </c>
      <c r="E46" s="31" t="s">
        <v>206</v>
      </c>
      <c r="F46" s="31" t="s">
        <v>207</v>
      </c>
      <c r="G46" s="31" t="s">
        <v>208</v>
      </c>
      <c r="H46" s="30" t="s">
        <v>209</v>
      </c>
      <c r="I46" s="29" t="s">
        <v>45</v>
      </c>
      <c r="J46" s="30" t="s">
        <v>3</v>
      </c>
      <c r="K46" s="30"/>
      <c r="L46" s="30"/>
      <c r="M46" s="31"/>
    </row>
    <row r="47" spans="1:13" ht="60" customHeight="1" x14ac:dyDescent="0.25">
      <c r="A47" s="25">
        <v>45</v>
      </c>
      <c r="B47" s="26" t="s">
        <v>13</v>
      </c>
      <c r="C47" s="26" t="s">
        <v>210</v>
      </c>
      <c r="D47" s="27" t="s">
        <v>40</v>
      </c>
      <c r="E47" s="26" t="s">
        <v>211</v>
      </c>
      <c r="F47" s="26" t="s">
        <v>212</v>
      </c>
      <c r="G47" s="26" t="s">
        <v>213</v>
      </c>
      <c r="H47" s="28" t="s">
        <v>44</v>
      </c>
      <c r="I47" s="29" t="s">
        <v>45</v>
      </c>
      <c r="J47" s="25" t="s">
        <v>3</v>
      </c>
      <c r="K47" s="25"/>
      <c r="L47" s="25"/>
      <c r="M47" s="26"/>
    </row>
    <row r="48" spans="1:13" ht="60" customHeight="1" x14ac:dyDescent="0.25">
      <c r="A48" s="30">
        <v>46</v>
      </c>
      <c r="B48" s="31" t="s">
        <v>13</v>
      </c>
      <c r="C48" s="31" t="s">
        <v>214</v>
      </c>
      <c r="D48" s="33" t="s">
        <v>63</v>
      </c>
      <c r="E48" s="31" t="s">
        <v>215</v>
      </c>
      <c r="F48" s="31" t="s">
        <v>216</v>
      </c>
      <c r="G48" s="31" t="s">
        <v>217</v>
      </c>
      <c r="H48" s="28" t="s">
        <v>44</v>
      </c>
      <c r="I48" s="29" t="s">
        <v>45</v>
      </c>
      <c r="J48" s="30" t="s">
        <v>3</v>
      </c>
      <c r="K48" s="30"/>
      <c r="L48" s="30"/>
      <c r="M48" s="31"/>
    </row>
    <row r="49" spans="1:13" ht="60" customHeight="1" x14ac:dyDescent="0.25">
      <c r="A49" s="25">
        <v>47</v>
      </c>
      <c r="B49" s="26" t="s">
        <v>13</v>
      </c>
      <c r="C49" s="26" t="s">
        <v>218</v>
      </c>
      <c r="D49" s="33" t="s">
        <v>63</v>
      </c>
      <c r="E49" s="26" t="s">
        <v>219</v>
      </c>
      <c r="F49" s="26" t="s">
        <v>220</v>
      </c>
      <c r="G49" s="26" t="s">
        <v>217</v>
      </c>
      <c r="H49" s="28" t="s">
        <v>44</v>
      </c>
      <c r="I49" s="29" t="s">
        <v>45</v>
      </c>
      <c r="J49" s="25" t="s">
        <v>3</v>
      </c>
      <c r="K49" s="25"/>
      <c r="L49" s="25"/>
      <c r="M49" s="26"/>
    </row>
    <row r="50" spans="1:13" ht="60" customHeight="1" x14ac:dyDescent="0.25">
      <c r="A50" s="30">
        <v>48</v>
      </c>
      <c r="B50" s="31" t="s">
        <v>13</v>
      </c>
      <c r="C50" s="31" t="s">
        <v>221</v>
      </c>
      <c r="D50" s="33" t="s">
        <v>63</v>
      </c>
      <c r="E50" s="31" t="s">
        <v>222</v>
      </c>
      <c r="F50" s="31" t="s">
        <v>223</v>
      </c>
      <c r="G50" s="31" t="s">
        <v>217</v>
      </c>
      <c r="H50" s="28" t="s">
        <v>44</v>
      </c>
      <c r="I50" s="29" t="s">
        <v>45</v>
      </c>
      <c r="J50" s="30" t="s">
        <v>3</v>
      </c>
      <c r="K50" s="30"/>
      <c r="L50" s="30"/>
      <c r="M50" s="31"/>
    </row>
    <row r="51" spans="1:13" ht="60" customHeight="1" x14ac:dyDescent="0.25">
      <c r="A51" s="25">
        <v>49</v>
      </c>
      <c r="B51" s="26" t="s">
        <v>13</v>
      </c>
      <c r="C51" s="26" t="s">
        <v>224</v>
      </c>
      <c r="D51" s="33" t="s">
        <v>63</v>
      </c>
      <c r="E51" s="26" t="s">
        <v>225</v>
      </c>
      <c r="F51" s="26" t="s">
        <v>226</v>
      </c>
      <c r="G51" s="26" t="s">
        <v>217</v>
      </c>
      <c r="H51" s="28" t="s">
        <v>44</v>
      </c>
      <c r="I51" s="29" t="s">
        <v>45</v>
      </c>
      <c r="J51" s="25" t="s">
        <v>3</v>
      </c>
      <c r="K51" s="25"/>
      <c r="L51" s="25"/>
      <c r="M51" s="26"/>
    </row>
    <row r="52" spans="1:13" ht="60" customHeight="1" x14ac:dyDescent="0.25">
      <c r="A52" s="30">
        <v>50</v>
      </c>
      <c r="B52" s="31" t="s">
        <v>15</v>
      </c>
      <c r="C52" s="31" t="s">
        <v>227</v>
      </c>
      <c r="D52" s="32" t="s">
        <v>53</v>
      </c>
      <c r="E52" s="31" t="s">
        <v>228</v>
      </c>
      <c r="F52" s="31" t="s">
        <v>229</v>
      </c>
      <c r="G52" s="31" t="s">
        <v>230</v>
      </c>
      <c r="H52" s="28" t="s">
        <v>44</v>
      </c>
      <c r="I52" s="29" t="s">
        <v>231</v>
      </c>
      <c r="J52" s="30" t="s">
        <v>3</v>
      </c>
      <c r="K52" s="30"/>
      <c r="L52" s="30"/>
      <c r="M52" s="31"/>
    </row>
    <row r="53" spans="1:13" ht="60" customHeight="1" x14ac:dyDescent="0.25">
      <c r="A53" s="25">
        <v>51</v>
      </c>
      <c r="B53" s="26" t="s">
        <v>15</v>
      </c>
      <c r="C53" s="26" t="s">
        <v>232</v>
      </c>
      <c r="D53" s="27" t="s">
        <v>40</v>
      </c>
      <c r="E53" s="26" t="s">
        <v>233</v>
      </c>
      <c r="F53" s="26" t="s">
        <v>234</v>
      </c>
      <c r="G53" s="26" t="s">
        <v>230</v>
      </c>
      <c r="H53" s="28" t="s">
        <v>44</v>
      </c>
      <c r="I53" s="29" t="s">
        <v>75</v>
      </c>
      <c r="J53" s="25" t="s">
        <v>3</v>
      </c>
      <c r="K53" s="25"/>
      <c r="L53" s="25"/>
      <c r="M53" s="26"/>
    </row>
    <row r="54" spans="1:13" ht="60" customHeight="1" x14ac:dyDescent="0.25">
      <c r="A54" s="30">
        <v>52</v>
      </c>
      <c r="B54" s="31" t="s">
        <v>15</v>
      </c>
      <c r="C54" s="31" t="s">
        <v>235</v>
      </c>
      <c r="D54" s="32" t="s">
        <v>53</v>
      </c>
      <c r="E54" s="31" t="s">
        <v>236</v>
      </c>
      <c r="F54" s="31" t="s">
        <v>237</v>
      </c>
      <c r="G54" s="31" t="s">
        <v>230</v>
      </c>
      <c r="H54" s="28" t="s">
        <v>44</v>
      </c>
      <c r="I54" s="29" t="s">
        <v>75</v>
      </c>
      <c r="J54" s="30" t="s">
        <v>3</v>
      </c>
      <c r="K54" s="30"/>
      <c r="L54" s="30"/>
      <c r="M54" s="31"/>
    </row>
    <row r="55" spans="1:13" ht="60" customHeight="1" x14ac:dyDescent="0.25">
      <c r="A55" s="25">
        <v>53</v>
      </c>
      <c r="B55" s="26" t="s">
        <v>15</v>
      </c>
      <c r="C55" s="26" t="s">
        <v>238</v>
      </c>
      <c r="D55" s="32" t="s">
        <v>53</v>
      </c>
      <c r="E55" s="26" t="s">
        <v>239</v>
      </c>
      <c r="F55" s="26" t="s">
        <v>240</v>
      </c>
      <c r="G55" s="26" t="s">
        <v>230</v>
      </c>
      <c r="H55" s="28" t="s">
        <v>44</v>
      </c>
      <c r="I55" s="29" t="s">
        <v>75</v>
      </c>
      <c r="J55" s="25" t="s">
        <v>3</v>
      </c>
      <c r="K55" s="25"/>
      <c r="L55" s="25"/>
      <c r="M55" s="26"/>
    </row>
    <row r="56" spans="1:13" ht="60" customHeight="1" x14ac:dyDescent="0.25">
      <c r="A56" s="30">
        <v>54</v>
      </c>
      <c r="B56" s="31" t="s">
        <v>15</v>
      </c>
      <c r="C56" s="31" t="s">
        <v>241</v>
      </c>
      <c r="D56" s="33" t="s">
        <v>63</v>
      </c>
      <c r="E56" s="31" t="s">
        <v>242</v>
      </c>
      <c r="F56" s="31" t="s">
        <v>243</v>
      </c>
      <c r="G56" s="31" t="s">
        <v>244</v>
      </c>
      <c r="H56" s="28" t="s">
        <v>44</v>
      </c>
      <c r="I56" s="29" t="s">
        <v>231</v>
      </c>
      <c r="J56" s="30" t="s">
        <v>3</v>
      </c>
      <c r="K56" s="30"/>
      <c r="L56" s="30"/>
      <c r="M56" s="31"/>
    </row>
    <row r="57" spans="1:13" ht="60" customHeight="1" x14ac:dyDescent="0.25">
      <c r="A57" s="25">
        <v>55</v>
      </c>
      <c r="B57" s="26" t="s">
        <v>15</v>
      </c>
      <c r="C57" s="26" t="s">
        <v>245</v>
      </c>
      <c r="D57" s="33" t="s">
        <v>63</v>
      </c>
      <c r="E57" s="26" t="s">
        <v>246</v>
      </c>
      <c r="F57" s="26" t="s">
        <v>247</v>
      </c>
      <c r="G57" s="26" t="s">
        <v>248</v>
      </c>
      <c r="H57" s="28" t="s">
        <v>44</v>
      </c>
      <c r="I57" s="29" t="s">
        <v>75</v>
      </c>
      <c r="J57" s="25" t="s">
        <v>3</v>
      </c>
      <c r="K57" s="25"/>
      <c r="L57" s="25"/>
      <c r="M57" s="26"/>
    </row>
    <row r="58" spans="1:13" ht="60" customHeight="1" x14ac:dyDescent="0.25">
      <c r="A58" s="30">
        <v>56</v>
      </c>
      <c r="B58" s="31" t="s">
        <v>15</v>
      </c>
      <c r="C58" s="31" t="s">
        <v>249</v>
      </c>
      <c r="D58" s="32" t="s">
        <v>53</v>
      </c>
      <c r="E58" s="31" t="s">
        <v>250</v>
      </c>
      <c r="F58" s="31" t="s">
        <v>251</v>
      </c>
      <c r="G58" s="31" t="s">
        <v>252</v>
      </c>
      <c r="H58" s="28" t="s">
        <v>44</v>
      </c>
      <c r="I58" s="29" t="s">
        <v>75</v>
      </c>
      <c r="J58" s="30" t="s">
        <v>3</v>
      </c>
      <c r="K58" s="30"/>
      <c r="L58" s="30"/>
      <c r="M58" s="31"/>
    </row>
    <row r="59" spans="1:13" ht="60" customHeight="1" x14ac:dyDescent="0.25">
      <c r="A59" s="25">
        <v>57</v>
      </c>
      <c r="B59" s="26" t="s">
        <v>15</v>
      </c>
      <c r="C59" s="26" t="s">
        <v>253</v>
      </c>
      <c r="D59" s="32" t="s">
        <v>53</v>
      </c>
      <c r="E59" s="26" t="s">
        <v>254</v>
      </c>
      <c r="F59" s="26" t="s">
        <v>255</v>
      </c>
      <c r="G59" s="26" t="s">
        <v>252</v>
      </c>
      <c r="H59" s="28" t="s">
        <v>44</v>
      </c>
      <c r="I59" s="29" t="s">
        <v>75</v>
      </c>
      <c r="J59" s="25" t="s">
        <v>3</v>
      </c>
      <c r="K59" s="25"/>
      <c r="L59" s="25"/>
      <c r="M59" s="26"/>
    </row>
    <row r="60" spans="1:13" ht="60" customHeight="1" x14ac:dyDescent="0.25">
      <c r="A60" s="30">
        <v>58</v>
      </c>
      <c r="B60" s="31" t="s">
        <v>15</v>
      </c>
      <c r="C60" s="31" t="s">
        <v>256</v>
      </c>
      <c r="D60" s="33" t="s">
        <v>63</v>
      </c>
      <c r="E60" s="31" t="s">
        <v>257</v>
      </c>
      <c r="F60" s="31" t="s">
        <v>258</v>
      </c>
      <c r="G60" s="31" t="s">
        <v>259</v>
      </c>
      <c r="H60" s="28" t="s">
        <v>44</v>
      </c>
      <c r="I60" s="29" t="s">
        <v>75</v>
      </c>
      <c r="J60" s="30" t="s">
        <v>3</v>
      </c>
      <c r="K60" s="30"/>
      <c r="L60" s="30"/>
      <c r="M60" s="31"/>
    </row>
    <row r="61" spans="1:13" ht="60" customHeight="1" x14ac:dyDescent="0.25">
      <c r="A61" s="25">
        <v>59</v>
      </c>
      <c r="B61" s="26" t="s">
        <v>15</v>
      </c>
      <c r="C61" s="26" t="s">
        <v>260</v>
      </c>
      <c r="D61" s="33" t="s">
        <v>63</v>
      </c>
      <c r="E61" s="26" t="s">
        <v>261</v>
      </c>
      <c r="F61" s="26" t="s">
        <v>262</v>
      </c>
      <c r="G61" s="26" t="s">
        <v>263</v>
      </c>
      <c r="H61" s="28" t="s">
        <v>44</v>
      </c>
      <c r="I61" s="29" t="s">
        <v>75</v>
      </c>
      <c r="J61" s="25" t="s">
        <v>3</v>
      </c>
      <c r="K61" s="25"/>
      <c r="L61" s="25"/>
      <c r="M61" s="26"/>
    </row>
    <row r="62" spans="1:13" ht="60" customHeight="1" x14ac:dyDescent="0.25">
      <c r="A62" s="30">
        <v>60</v>
      </c>
      <c r="B62" s="31" t="s">
        <v>15</v>
      </c>
      <c r="C62" s="31" t="s">
        <v>264</v>
      </c>
      <c r="D62" s="33" t="s">
        <v>63</v>
      </c>
      <c r="E62" s="31" t="s">
        <v>265</v>
      </c>
      <c r="F62" s="31" t="s">
        <v>266</v>
      </c>
      <c r="G62" s="31" t="s">
        <v>248</v>
      </c>
      <c r="H62" s="28" t="s">
        <v>44</v>
      </c>
      <c r="I62" s="29" t="s">
        <v>75</v>
      </c>
      <c r="J62" s="30" t="s">
        <v>3</v>
      </c>
      <c r="K62" s="30"/>
      <c r="L62" s="30"/>
      <c r="M62" s="31"/>
    </row>
    <row r="63" spans="1:13" ht="60" customHeight="1" x14ac:dyDescent="0.25">
      <c r="A63" s="25">
        <v>61</v>
      </c>
      <c r="B63" s="26" t="s">
        <v>15</v>
      </c>
      <c r="C63" s="26" t="s">
        <v>267</v>
      </c>
      <c r="D63" s="33" t="s">
        <v>63</v>
      </c>
      <c r="E63" s="26" t="s">
        <v>268</v>
      </c>
      <c r="F63" s="26" t="s">
        <v>269</v>
      </c>
      <c r="G63" s="26" t="s">
        <v>270</v>
      </c>
      <c r="H63" s="28" t="s">
        <v>44</v>
      </c>
      <c r="I63" s="29" t="s">
        <v>75</v>
      </c>
      <c r="J63" s="25" t="s">
        <v>3</v>
      </c>
      <c r="K63" s="25"/>
      <c r="L63" s="25"/>
      <c r="M63" s="26"/>
    </row>
    <row r="64" spans="1:13" ht="60" customHeight="1" x14ac:dyDescent="0.25">
      <c r="A64" s="30">
        <v>62</v>
      </c>
      <c r="B64" s="31" t="s">
        <v>15</v>
      </c>
      <c r="C64" s="31" t="s">
        <v>271</v>
      </c>
      <c r="D64" s="33" t="s">
        <v>63</v>
      </c>
      <c r="E64" s="31" t="s">
        <v>272</v>
      </c>
      <c r="F64" s="31" t="s">
        <v>273</v>
      </c>
      <c r="G64" s="31" t="s">
        <v>274</v>
      </c>
      <c r="H64" s="28" t="s">
        <v>44</v>
      </c>
      <c r="I64" s="29" t="s">
        <v>75</v>
      </c>
      <c r="J64" s="30" t="s">
        <v>3</v>
      </c>
      <c r="K64" s="30"/>
      <c r="L64" s="30"/>
      <c r="M64" s="31"/>
    </row>
    <row r="65" spans="1:13" ht="60" customHeight="1" x14ac:dyDescent="0.25">
      <c r="A65" s="25">
        <v>63</v>
      </c>
      <c r="B65" s="26" t="s">
        <v>15</v>
      </c>
      <c r="C65" s="26" t="s">
        <v>275</v>
      </c>
      <c r="D65" s="32" t="s">
        <v>53</v>
      </c>
      <c r="E65" s="26" t="s">
        <v>276</v>
      </c>
      <c r="F65" s="26" t="s">
        <v>277</v>
      </c>
      <c r="G65" s="26" t="s">
        <v>278</v>
      </c>
      <c r="H65" s="28" t="s">
        <v>44</v>
      </c>
      <c r="I65" s="29" t="s">
        <v>75</v>
      </c>
      <c r="J65" s="25" t="s">
        <v>3</v>
      </c>
      <c r="K65" s="25"/>
      <c r="L65" s="25"/>
      <c r="M65" s="26"/>
    </row>
    <row r="66" spans="1:13" ht="60" customHeight="1" x14ac:dyDescent="0.25">
      <c r="A66" s="30">
        <v>64</v>
      </c>
      <c r="B66" s="31" t="s">
        <v>15</v>
      </c>
      <c r="C66" s="31" t="s">
        <v>279</v>
      </c>
      <c r="D66" s="32" t="s">
        <v>53</v>
      </c>
      <c r="E66" s="31" t="s">
        <v>280</v>
      </c>
      <c r="F66" s="31" t="s">
        <v>281</v>
      </c>
      <c r="G66" s="31" t="s">
        <v>282</v>
      </c>
      <c r="H66" s="28" t="s">
        <v>44</v>
      </c>
      <c r="I66" s="29" t="s">
        <v>75</v>
      </c>
      <c r="J66" s="30" t="s">
        <v>3</v>
      </c>
      <c r="K66" s="30"/>
      <c r="L66" s="30"/>
      <c r="M66" s="31"/>
    </row>
    <row r="67" spans="1:13" ht="60" customHeight="1" x14ac:dyDescent="0.25">
      <c r="A67" s="25">
        <v>65</v>
      </c>
      <c r="B67" s="26" t="s">
        <v>15</v>
      </c>
      <c r="C67" s="26" t="s">
        <v>283</v>
      </c>
      <c r="D67" s="32" t="s">
        <v>53</v>
      </c>
      <c r="E67" s="26" t="s">
        <v>284</v>
      </c>
      <c r="F67" s="26" t="s">
        <v>285</v>
      </c>
      <c r="G67" s="26" t="s">
        <v>248</v>
      </c>
      <c r="H67" s="28" t="s">
        <v>44</v>
      </c>
      <c r="I67" s="29" t="s">
        <v>75</v>
      </c>
      <c r="J67" s="25" t="s">
        <v>3</v>
      </c>
      <c r="K67" s="25"/>
      <c r="L67" s="25"/>
      <c r="M67" s="26"/>
    </row>
    <row r="68" spans="1:13" ht="60" customHeight="1" x14ac:dyDescent="0.25">
      <c r="A68" s="30">
        <v>66</v>
      </c>
      <c r="B68" s="31" t="s">
        <v>15</v>
      </c>
      <c r="C68" s="31" t="s">
        <v>286</v>
      </c>
      <c r="D68" s="33" t="s">
        <v>63</v>
      </c>
      <c r="E68" s="31" t="s">
        <v>287</v>
      </c>
      <c r="F68" s="31" t="s">
        <v>288</v>
      </c>
      <c r="G68" s="31" t="s">
        <v>289</v>
      </c>
      <c r="H68" s="28" t="s">
        <v>44</v>
      </c>
      <c r="I68" s="29" t="s">
        <v>75</v>
      </c>
      <c r="J68" s="30" t="s">
        <v>3</v>
      </c>
      <c r="K68" s="30"/>
      <c r="L68" s="30"/>
      <c r="M68" s="31"/>
    </row>
    <row r="69" spans="1:13" ht="60" customHeight="1" x14ac:dyDescent="0.25">
      <c r="A69" s="25">
        <v>67</v>
      </c>
      <c r="B69" s="26" t="s">
        <v>15</v>
      </c>
      <c r="C69" s="26" t="s">
        <v>290</v>
      </c>
      <c r="D69" s="33" t="s">
        <v>63</v>
      </c>
      <c r="E69" s="26" t="s">
        <v>291</v>
      </c>
      <c r="F69" s="26" t="s">
        <v>292</v>
      </c>
      <c r="G69" s="26" t="s">
        <v>293</v>
      </c>
      <c r="H69" s="28" t="s">
        <v>44</v>
      </c>
      <c r="I69" s="29" t="s">
        <v>231</v>
      </c>
      <c r="J69" s="25" t="s">
        <v>3</v>
      </c>
      <c r="K69" s="25"/>
      <c r="L69" s="25"/>
      <c r="M69" s="26"/>
    </row>
    <row r="70" spans="1:13" ht="60" customHeight="1" x14ac:dyDescent="0.25">
      <c r="A70" s="30">
        <v>68</v>
      </c>
      <c r="B70" s="31" t="s">
        <v>15</v>
      </c>
      <c r="C70" s="31" t="s">
        <v>294</v>
      </c>
      <c r="D70" s="33" t="s">
        <v>63</v>
      </c>
      <c r="E70" s="31" t="s">
        <v>295</v>
      </c>
      <c r="F70" s="31" t="s">
        <v>296</v>
      </c>
      <c r="G70" s="31" t="s">
        <v>244</v>
      </c>
      <c r="H70" s="28" t="s">
        <v>44</v>
      </c>
      <c r="I70" s="29" t="s">
        <v>231</v>
      </c>
      <c r="J70" s="30" t="s">
        <v>3</v>
      </c>
      <c r="K70" s="30"/>
      <c r="L70" s="30"/>
      <c r="M70" s="31"/>
    </row>
    <row r="71" spans="1:13" ht="60" customHeight="1" x14ac:dyDescent="0.25">
      <c r="A71" s="25">
        <v>69</v>
      </c>
      <c r="B71" s="26" t="s">
        <v>15</v>
      </c>
      <c r="C71" s="26" t="s">
        <v>297</v>
      </c>
      <c r="D71" s="33" t="s">
        <v>63</v>
      </c>
      <c r="E71" s="26" t="s">
        <v>298</v>
      </c>
      <c r="F71" s="26" t="s">
        <v>299</v>
      </c>
      <c r="G71" s="26" t="s">
        <v>300</v>
      </c>
      <c r="H71" s="28" t="s">
        <v>44</v>
      </c>
      <c r="I71" s="29" t="s">
        <v>231</v>
      </c>
      <c r="J71" s="25" t="s">
        <v>3</v>
      </c>
      <c r="K71" s="25"/>
      <c r="L71" s="25"/>
      <c r="M71" s="26"/>
    </row>
    <row r="72" spans="1:13" ht="60" customHeight="1" x14ac:dyDescent="0.25">
      <c r="A72" s="30">
        <v>70</v>
      </c>
      <c r="B72" s="31" t="s">
        <v>15</v>
      </c>
      <c r="C72" s="31" t="s">
        <v>301</v>
      </c>
      <c r="D72" s="32" t="s">
        <v>53</v>
      </c>
      <c r="E72" s="31" t="s">
        <v>302</v>
      </c>
      <c r="F72" s="31" t="s">
        <v>303</v>
      </c>
      <c r="G72" s="31" t="s">
        <v>300</v>
      </c>
      <c r="H72" s="28" t="s">
        <v>44</v>
      </c>
      <c r="I72" s="29" t="s">
        <v>231</v>
      </c>
      <c r="J72" s="30" t="s">
        <v>3</v>
      </c>
      <c r="K72" s="30"/>
      <c r="L72" s="30"/>
      <c r="M72" s="31"/>
    </row>
    <row r="73" spans="1:13" ht="60" customHeight="1" x14ac:dyDescent="0.25">
      <c r="A73" s="25">
        <v>71</v>
      </c>
      <c r="B73" s="26" t="s">
        <v>15</v>
      </c>
      <c r="C73" s="26" t="s">
        <v>304</v>
      </c>
      <c r="D73" s="33" t="s">
        <v>63</v>
      </c>
      <c r="E73" s="26" t="s">
        <v>305</v>
      </c>
      <c r="F73" s="26" t="s">
        <v>306</v>
      </c>
      <c r="G73" s="26" t="s">
        <v>307</v>
      </c>
      <c r="H73" s="28" t="s">
        <v>44</v>
      </c>
      <c r="I73" s="29" t="s">
        <v>231</v>
      </c>
      <c r="J73" s="25" t="s">
        <v>3</v>
      </c>
      <c r="K73" s="25"/>
      <c r="L73" s="25"/>
      <c r="M73" s="26"/>
    </row>
    <row r="74" spans="1:13" ht="60" customHeight="1" x14ac:dyDescent="0.25">
      <c r="A74" s="30">
        <v>72</v>
      </c>
      <c r="B74" s="31" t="s">
        <v>15</v>
      </c>
      <c r="C74" s="31" t="s">
        <v>308</v>
      </c>
      <c r="D74" s="33" t="s">
        <v>63</v>
      </c>
      <c r="E74" s="31" t="s">
        <v>309</v>
      </c>
      <c r="F74" s="31" t="s">
        <v>310</v>
      </c>
      <c r="G74" s="31" t="s">
        <v>248</v>
      </c>
      <c r="H74" s="28" t="s">
        <v>44</v>
      </c>
      <c r="I74" s="29" t="s">
        <v>231</v>
      </c>
      <c r="J74" s="30" t="s">
        <v>3</v>
      </c>
      <c r="K74" s="30"/>
      <c r="L74" s="30"/>
      <c r="M74" s="31"/>
    </row>
    <row r="75" spans="1:13" ht="60" customHeight="1" x14ac:dyDescent="0.25">
      <c r="A75" s="25">
        <v>73</v>
      </c>
      <c r="B75" s="26" t="s">
        <v>15</v>
      </c>
      <c r="C75" s="26" t="s">
        <v>311</v>
      </c>
      <c r="D75" s="33" t="s">
        <v>63</v>
      </c>
      <c r="E75" s="26" t="s">
        <v>312</v>
      </c>
      <c r="F75" s="26" t="s">
        <v>313</v>
      </c>
      <c r="G75" s="26" t="s">
        <v>248</v>
      </c>
      <c r="H75" s="28" t="s">
        <v>44</v>
      </c>
      <c r="I75" s="29" t="s">
        <v>231</v>
      </c>
      <c r="J75" s="25" t="s">
        <v>3</v>
      </c>
      <c r="K75" s="25"/>
      <c r="L75" s="25"/>
      <c r="M75" s="26"/>
    </row>
    <row r="76" spans="1:13" ht="60" customHeight="1" x14ac:dyDescent="0.25">
      <c r="A76" s="30">
        <v>74</v>
      </c>
      <c r="B76" s="31" t="s">
        <v>15</v>
      </c>
      <c r="C76" s="31" t="s">
        <v>314</v>
      </c>
      <c r="D76" s="33" t="s">
        <v>63</v>
      </c>
      <c r="E76" s="31" t="s">
        <v>315</v>
      </c>
      <c r="F76" s="31" t="s">
        <v>316</v>
      </c>
      <c r="G76" s="31" t="s">
        <v>248</v>
      </c>
      <c r="H76" s="28" t="s">
        <v>44</v>
      </c>
      <c r="I76" s="29" t="s">
        <v>75</v>
      </c>
      <c r="J76" s="30" t="s">
        <v>3</v>
      </c>
      <c r="K76" s="30"/>
      <c r="L76" s="30"/>
      <c r="M76" s="31"/>
    </row>
    <row r="77" spans="1:13" ht="60" customHeight="1" x14ac:dyDescent="0.25">
      <c r="A77" s="25">
        <v>75</v>
      </c>
      <c r="B77" s="26" t="s">
        <v>15</v>
      </c>
      <c r="C77" s="26" t="s">
        <v>317</v>
      </c>
      <c r="D77" s="33" t="s">
        <v>63</v>
      </c>
      <c r="E77" s="26" t="s">
        <v>318</v>
      </c>
      <c r="F77" s="26" t="s">
        <v>319</v>
      </c>
      <c r="G77" s="26" t="s">
        <v>248</v>
      </c>
      <c r="H77" s="28" t="s">
        <v>44</v>
      </c>
      <c r="I77" s="29" t="s">
        <v>75</v>
      </c>
      <c r="J77" s="25" t="s">
        <v>3</v>
      </c>
      <c r="K77" s="25"/>
      <c r="L77" s="25"/>
      <c r="M77" s="26"/>
    </row>
    <row r="78" spans="1:13" ht="60" customHeight="1" x14ac:dyDescent="0.25">
      <c r="A78" s="30">
        <v>76</v>
      </c>
      <c r="B78" s="31" t="s">
        <v>15</v>
      </c>
      <c r="C78" s="31" t="s">
        <v>320</v>
      </c>
      <c r="D78" s="32" t="s">
        <v>53</v>
      </c>
      <c r="E78" s="31" t="s">
        <v>321</v>
      </c>
      <c r="F78" s="31" t="s">
        <v>322</v>
      </c>
      <c r="G78" s="31" t="s">
        <v>323</v>
      </c>
      <c r="H78" s="28" t="s">
        <v>44</v>
      </c>
      <c r="I78" s="29" t="s">
        <v>75</v>
      </c>
      <c r="J78" s="30" t="s">
        <v>3</v>
      </c>
      <c r="K78" s="30"/>
      <c r="L78" s="30"/>
      <c r="M78" s="31"/>
    </row>
    <row r="79" spans="1:13" ht="60" customHeight="1" x14ac:dyDescent="0.25">
      <c r="A79" s="25">
        <v>77</v>
      </c>
      <c r="B79" s="26" t="s">
        <v>15</v>
      </c>
      <c r="C79" s="26" t="s">
        <v>324</v>
      </c>
      <c r="D79" s="33" t="s">
        <v>63</v>
      </c>
      <c r="E79" s="26" t="s">
        <v>325</v>
      </c>
      <c r="F79" s="26" t="s">
        <v>326</v>
      </c>
      <c r="G79" s="26" t="s">
        <v>327</v>
      </c>
      <c r="H79" s="28" t="s">
        <v>44</v>
      </c>
      <c r="I79" s="29" t="s">
        <v>75</v>
      </c>
      <c r="J79" s="25" t="s">
        <v>3</v>
      </c>
      <c r="K79" s="25"/>
      <c r="L79" s="25"/>
      <c r="M79" s="26"/>
    </row>
    <row r="80" spans="1:13" ht="60" customHeight="1" x14ac:dyDescent="0.25">
      <c r="A80" s="30">
        <v>78</v>
      </c>
      <c r="B80" s="31" t="s">
        <v>15</v>
      </c>
      <c r="C80" s="31" t="s">
        <v>328</v>
      </c>
      <c r="D80" s="33" t="s">
        <v>63</v>
      </c>
      <c r="E80" s="31" t="s">
        <v>329</v>
      </c>
      <c r="F80" s="31" t="s">
        <v>330</v>
      </c>
      <c r="G80" s="31" t="s">
        <v>331</v>
      </c>
      <c r="H80" s="28" t="s">
        <v>44</v>
      </c>
      <c r="I80" s="29" t="s">
        <v>75</v>
      </c>
      <c r="J80" s="30" t="s">
        <v>3</v>
      </c>
      <c r="K80" s="30"/>
      <c r="L80" s="30"/>
      <c r="M80" s="31"/>
    </row>
    <row r="81" spans="1:13" ht="60" customHeight="1" x14ac:dyDescent="0.25">
      <c r="A81" s="25">
        <v>79</v>
      </c>
      <c r="B81" s="26" t="s">
        <v>15</v>
      </c>
      <c r="C81" s="26" t="s">
        <v>332</v>
      </c>
      <c r="D81" s="33" t="s">
        <v>63</v>
      </c>
      <c r="E81" s="26" t="s">
        <v>333</v>
      </c>
      <c r="F81" s="26" t="s">
        <v>334</v>
      </c>
      <c r="G81" s="26" t="s">
        <v>248</v>
      </c>
      <c r="H81" s="28" t="s">
        <v>44</v>
      </c>
      <c r="I81" s="29" t="s">
        <v>75</v>
      </c>
      <c r="J81" s="25" t="s">
        <v>3</v>
      </c>
      <c r="K81" s="25"/>
      <c r="L81" s="25"/>
      <c r="M81" s="26"/>
    </row>
    <row r="82" spans="1:13" ht="60" customHeight="1" x14ac:dyDescent="0.25">
      <c r="A82" s="30">
        <v>80</v>
      </c>
      <c r="B82" s="31" t="s">
        <v>15</v>
      </c>
      <c r="C82" s="31" t="s">
        <v>335</v>
      </c>
      <c r="D82" s="33" t="s">
        <v>63</v>
      </c>
      <c r="E82" s="31" t="s">
        <v>336</v>
      </c>
      <c r="F82" s="31" t="s">
        <v>337</v>
      </c>
      <c r="G82" s="31" t="s">
        <v>338</v>
      </c>
      <c r="H82" s="28" t="s">
        <v>44</v>
      </c>
      <c r="I82" s="29" t="s">
        <v>75</v>
      </c>
      <c r="J82" s="30" t="s">
        <v>3</v>
      </c>
      <c r="K82" s="30"/>
      <c r="L82" s="30"/>
      <c r="M82" s="31"/>
    </row>
    <row r="83" spans="1:13" ht="60" customHeight="1" x14ac:dyDescent="0.25">
      <c r="A83" s="25">
        <v>81</v>
      </c>
      <c r="B83" s="26" t="s">
        <v>15</v>
      </c>
      <c r="C83" s="26" t="s">
        <v>339</v>
      </c>
      <c r="D83" s="27" t="s">
        <v>40</v>
      </c>
      <c r="E83" s="26" t="s">
        <v>340</v>
      </c>
      <c r="F83" s="26" t="s">
        <v>341</v>
      </c>
      <c r="G83" s="26" t="s">
        <v>342</v>
      </c>
      <c r="H83" s="28" t="s">
        <v>44</v>
      </c>
      <c r="I83" s="29" t="s">
        <v>75</v>
      </c>
      <c r="J83" s="25" t="s">
        <v>3</v>
      </c>
      <c r="K83" s="25"/>
      <c r="L83" s="25"/>
      <c r="M83" s="26"/>
    </row>
    <row r="84" spans="1:13" ht="60" customHeight="1" x14ac:dyDescent="0.25">
      <c r="A84" s="30">
        <v>82</v>
      </c>
      <c r="B84" s="31" t="s">
        <v>15</v>
      </c>
      <c r="C84" s="31" t="s">
        <v>343</v>
      </c>
      <c r="D84" s="33" t="s">
        <v>63</v>
      </c>
      <c r="E84" s="31" t="s">
        <v>344</v>
      </c>
      <c r="F84" s="31" t="s">
        <v>345</v>
      </c>
      <c r="G84" s="31" t="s">
        <v>346</v>
      </c>
      <c r="H84" s="28" t="s">
        <v>44</v>
      </c>
      <c r="I84" s="29" t="s">
        <v>75</v>
      </c>
      <c r="J84" s="30" t="s">
        <v>3</v>
      </c>
      <c r="K84" s="30"/>
      <c r="L84" s="30"/>
      <c r="M84" s="31"/>
    </row>
    <row r="85" spans="1:13" ht="60" customHeight="1" x14ac:dyDescent="0.25">
      <c r="A85" s="25">
        <v>83</v>
      </c>
      <c r="B85" s="26" t="s">
        <v>15</v>
      </c>
      <c r="C85" s="26" t="s">
        <v>347</v>
      </c>
      <c r="D85" s="33" t="s">
        <v>63</v>
      </c>
      <c r="E85" s="26" t="s">
        <v>348</v>
      </c>
      <c r="F85" s="26" t="s">
        <v>349</v>
      </c>
      <c r="G85" s="26" t="s">
        <v>338</v>
      </c>
      <c r="H85" s="28" t="s">
        <v>44</v>
      </c>
      <c r="I85" s="29" t="s">
        <v>75</v>
      </c>
      <c r="J85" s="25" t="s">
        <v>3</v>
      </c>
      <c r="K85" s="25"/>
      <c r="L85" s="25"/>
      <c r="M85" s="26"/>
    </row>
    <row r="86" spans="1:13" ht="60" customHeight="1" x14ac:dyDescent="0.25">
      <c r="A86" s="30">
        <v>84</v>
      </c>
      <c r="B86" s="31" t="s">
        <v>15</v>
      </c>
      <c r="C86" s="31" t="s">
        <v>350</v>
      </c>
      <c r="D86" s="33" t="s">
        <v>63</v>
      </c>
      <c r="E86" s="31" t="s">
        <v>351</v>
      </c>
      <c r="F86" s="31" t="s">
        <v>352</v>
      </c>
      <c r="G86" s="31" t="s">
        <v>248</v>
      </c>
      <c r="H86" s="28" t="s">
        <v>44</v>
      </c>
      <c r="I86" s="29" t="s">
        <v>75</v>
      </c>
      <c r="J86" s="30" t="s">
        <v>3</v>
      </c>
      <c r="K86" s="30"/>
      <c r="L86" s="30"/>
      <c r="M86" s="31"/>
    </row>
    <row r="87" spans="1:13" ht="60" customHeight="1" x14ac:dyDescent="0.25">
      <c r="A87" s="25">
        <v>85</v>
      </c>
      <c r="B87" s="26" t="s">
        <v>15</v>
      </c>
      <c r="C87" s="26" t="s">
        <v>353</v>
      </c>
      <c r="D87" s="33" t="s">
        <v>63</v>
      </c>
      <c r="E87" s="26" t="s">
        <v>354</v>
      </c>
      <c r="F87" s="26" t="s">
        <v>355</v>
      </c>
      <c r="G87" s="26" t="s">
        <v>248</v>
      </c>
      <c r="H87" s="28" t="s">
        <v>44</v>
      </c>
      <c r="I87" s="29" t="s">
        <v>75</v>
      </c>
      <c r="J87" s="25" t="s">
        <v>3</v>
      </c>
      <c r="K87" s="25"/>
      <c r="L87" s="25"/>
      <c r="M87" s="26"/>
    </row>
    <row r="88" spans="1:13" ht="60" customHeight="1" x14ac:dyDescent="0.25">
      <c r="A88" s="30">
        <v>86</v>
      </c>
      <c r="B88" s="31" t="s">
        <v>15</v>
      </c>
      <c r="C88" s="31" t="s">
        <v>356</v>
      </c>
      <c r="D88" s="33" t="s">
        <v>63</v>
      </c>
      <c r="E88" s="31" t="s">
        <v>357</v>
      </c>
      <c r="F88" s="31" t="s">
        <v>358</v>
      </c>
      <c r="G88" s="31" t="s">
        <v>359</v>
      </c>
      <c r="H88" s="28" t="s">
        <v>44</v>
      </c>
      <c r="I88" s="29" t="s">
        <v>75</v>
      </c>
      <c r="J88" s="30" t="s">
        <v>3</v>
      </c>
      <c r="K88" s="30"/>
      <c r="L88" s="30"/>
      <c r="M88" s="31"/>
    </row>
    <row r="89" spans="1:13" ht="60" customHeight="1" x14ac:dyDescent="0.25">
      <c r="A89" s="25">
        <v>87</v>
      </c>
      <c r="B89" s="26" t="s">
        <v>15</v>
      </c>
      <c r="C89" s="26" t="s">
        <v>360</v>
      </c>
      <c r="D89" s="33" t="s">
        <v>63</v>
      </c>
      <c r="E89" s="26" t="s">
        <v>361</v>
      </c>
      <c r="F89" s="26" t="s">
        <v>362</v>
      </c>
      <c r="G89" s="26" t="s">
        <v>248</v>
      </c>
      <c r="H89" s="28" t="s">
        <v>44</v>
      </c>
      <c r="I89" s="29" t="s">
        <v>75</v>
      </c>
      <c r="J89" s="25" t="s">
        <v>3</v>
      </c>
      <c r="K89" s="25"/>
      <c r="L89" s="25"/>
      <c r="M89" s="26"/>
    </row>
    <row r="90" spans="1:13" ht="60" customHeight="1" x14ac:dyDescent="0.25">
      <c r="A90" s="30">
        <v>88</v>
      </c>
      <c r="B90" s="31" t="s">
        <v>15</v>
      </c>
      <c r="C90" s="31" t="s">
        <v>363</v>
      </c>
      <c r="D90" s="33" t="s">
        <v>63</v>
      </c>
      <c r="E90" s="31" t="s">
        <v>364</v>
      </c>
      <c r="F90" s="31" t="s">
        <v>365</v>
      </c>
      <c r="G90" s="31" t="s">
        <v>248</v>
      </c>
      <c r="H90" s="28" t="s">
        <v>44</v>
      </c>
      <c r="I90" s="29" t="s">
        <v>75</v>
      </c>
      <c r="J90" s="30" t="s">
        <v>3</v>
      </c>
      <c r="K90" s="30"/>
      <c r="L90" s="30"/>
      <c r="M90" s="31"/>
    </row>
    <row r="91" spans="1:13" ht="60" customHeight="1" x14ac:dyDescent="0.25">
      <c r="A91" s="25">
        <v>89</v>
      </c>
      <c r="B91" s="26" t="s">
        <v>15</v>
      </c>
      <c r="C91" s="26" t="s">
        <v>366</v>
      </c>
      <c r="D91" s="33" t="s">
        <v>63</v>
      </c>
      <c r="E91" s="26" t="s">
        <v>367</v>
      </c>
      <c r="F91" s="26" t="s">
        <v>368</v>
      </c>
      <c r="G91" s="26" t="s">
        <v>248</v>
      </c>
      <c r="H91" s="28" t="s">
        <v>44</v>
      </c>
      <c r="I91" s="29" t="s">
        <v>75</v>
      </c>
      <c r="J91" s="25" t="s">
        <v>3</v>
      </c>
      <c r="K91" s="25"/>
      <c r="L91" s="25"/>
      <c r="M91" s="26"/>
    </row>
    <row r="92" spans="1:13" ht="60" customHeight="1" x14ac:dyDescent="0.25">
      <c r="A92" s="30">
        <v>90</v>
      </c>
      <c r="B92" s="31" t="s">
        <v>15</v>
      </c>
      <c r="C92" s="31" t="s">
        <v>369</v>
      </c>
      <c r="D92" s="33" t="s">
        <v>63</v>
      </c>
      <c r="E92" s="31" t="s">
        <v>370</v>
      </c>
      <c r="F92" s="31" t="s">
        <v>371</v>
      </c>
      <c r="G92" s="31" t="s">
        <v>248</v>
      </c>
      <c r="H92" s="28" t="s">
        <v>44</v>
      </c>
      <c r="I92" s="29" t="s">
        <v>75</v>
      </c>
      <c r="J92" s="30" t="s">
        <v>3</v>
      </c>
      <c r="K92" s="30"/>
      <c r="L92" s="30"/>
      <c r="M92" s="31"/>
    </row>
    <row r="93" spans="1:13" ht="60" customHeight="1" x14ac:dyDescent="0.25">
      <c r="A93" s="25">
        <v>91</v>
      </c>
      <c r="B93" s="26" t="s">
        <v>15</v>
      </c>
      <c r="C93" s="26" t="s">
        <v>372</v>
      </c>
      <c r="D93" s="32" t="s">
        <v>53</v>
      </c>
      <c r="E93" s="26" t="s">
        <v>373</v>
      </c>
      <c r="F93" s="26" t="s">
        <v>374</v>
      </c>
      <c r="G93" s="26" t="s">
        <v>248</v>
      </c>
      <c r="H93" s="28" t="s">
        <v>44</v>
      </c>
      <c r="I93" s="29" t="s">
        <v>75</v>
      </c>
      <c r="J93" s="25" t="s">
        <v>3</v>
      </c>
      <c r="K93" s="25"/>
      <c r="L93" s="25"/>
      <c r="M93" s="26"/>
    </row>
    <row r="94" spans="1:13" ht="60" customHeight="1" x14ac:dyDescent="0.25">
      <c r="A94" s="30">
        <v>92</v>
      </c>
      <c r="B94" s="31" t="s">
        <v>15</v>
      </c>
      <c r="C94" s="31" t="s">
        <v>375</v>
      </c>
      <c r="D94" s="33" t="s">
        <v>63</v>
      </c>
      <c r="E94" s="31" t="s">
        <v>376</v>
      </c>
      <c r="F94" s="31" t="s">
        <v>377</v>
      </c>
      <c r="G94" s="31" t="s">
        <v>248</v>
      </c>
      <c r="H94" s="28" t="s">
        <v>44</v>
      </c>
      <c r="I94" s="29" t="s">
        <v>75</v>
      </c>
      <c r="J94" s="30" t="s">
        <v>3</v>
      </c>
      <c r="K94" s="30"/>
      <c r="L94" s="30"/>
      <c r="M94" s="31"/>
    </row>
    <row r="95" spans="1:13" ht="60" customHeight="1" x14ac:dyDescent="0.25">
      <c r="A95" s="25">
        <v>93</v>
      </c>
      <c r="B95" s="26" t="s">
        <v>15</v>
      </c>
      <c r="C95" s="26" t="s">
        <v>378</v>
      </c>
      <c r="D95" s="33" t="s">
        <v>63</v>
      </c>
      <c r="E95" s="26" t="s">
        <v>379</v>
      </c>
      <c r="F95" s="26" t="s">
        <v>380</v>
      </c>
      <c r="G95" s="26" t="s">
        <v>248</v>
      </c>
      <c r="H95" s="28" t="s">
        <v>44</v>
      </c>
      <c r="I95" s="29" t="s">
        <v>75</v>
      </c>
      <c r="J95" s="25" t="s">
        <v>3</v>
      </c>
      <c r="K95" s="25"/>
      <c r="L95" s="25"/>
      <c r="M95" s="26"/>
    </row>
    <row r="96" spans="1:13" ht="60" customHeight="1" x14ac:dyDescent="0.25">
      <c r="A96" s="30">
        <v>94</v>
      </c>
      <c r="B96" s="31" t="s">
        <v>15</v>
      </c>
      <c r="C96" s="31" t="s">
        <v>381</v>
      </c>
      <c r="D96" s="33" t="s">
        <v>63</v>
      </c>
      <c r="E96" s="31" t="s">
        <v>382</v>
      </c>
      <c r="F96" s="31" t="s">
        <v>383</v>
      </c>
      <c r="G96" s="31" t="s">
        <v>248</v>
      </c>
      <c r="H96" s="28" t="s">
        <v>44</v>
      </c>
      <c r="I96" s="29" t="s">
        <v>75</v>
      </c>
      <c r="J96" s="30" t="s">
        <v>3</v>
      </c>
      <c r="K96" s="30"/>
      <c r="L96" s="30"/>
      <c r="M96" s="31"/>
    </row>
    <row r="97" spans="1:13" ht="60" customHeight="1" x14ac:dyDescent="0.25">
      <c r="A97" s="25">
        <v>95</v>
      </c>
      <c r="B97" s="26" t="s">
        <v>15</v>
      </c>
      <c r="C97" s="26" t="s">
        <v>384</v>
      </c>
      <c r="D97" s="33" t="s">
        <v>63</v>
      </c>
      <c r="E97" s="26" t="s">
        <v>385</v>
      </c>
      <c r="F97" s="26" t="s">
        <v>386</v>
      </c>
      <c r="G97" s="26" t="s">
        <v>248</v>
      </c>
      <c r="H97" s="28" t="s">
        <v>44</v>
      </c>
      <c r="I97" s="29" t="s">
        <v>75</v>
      </c>
      <c r="J97" s="25" t="s">
        <v>3</v>
      </c>
      <c r="K97" s="25"/>
      <c r="L97" s="25"/>
      <c r="M97" s="26"/>
    </row>
    <row r="98" spans="1:13" ht="60" customHeight="1" x14ac:dyDescent="0.25">
      <c r="A98" s="30">
        <v>96</v>
      </c>
      <c r="B98" s="31" t="s">
        <v>15</v>
      </c>
      <c r="C98" s="31" t="s">
        <v>387</v>
      </c>
      <c r="D98" s="32" t="s">
        <v>53</v>
      </c>
      <c r="E98" s="31" t="s">
        <v>388</v>
      </c>
      <c r="F98" s="31" t="s">
        <v>389</v>
      </c>
      <c r="G98" s="31" t="s">
        <v>248</v>
      </c>
      <c r="H98" s="28" t="s">
        <v>44</v>
      </c>
      <c r="I98" s="29" t="s">
        <v>75</v>
      </c>
      <c r="J98" s="30" t="s">
        <v>3</v>
      </c>
      <c r="K98" s="30"/>
      <c r="L98" s="30"/>
      <c r="M98" s="31"/>
    </row>
    <row r="99" spans="1:13" ht="60" customHeight="1" x14ac:dyDescent="0.25">
      <c r="A99" s="25">
        <v>97</v>
      </c>
      <c r="B99" s="26" t="s">
        <v>15</v>
      </c>
      <c r="C99" s="26" t="s">
        <v>390</v>
      </c>
      <c r="D99" s="33" t="s">
        <v>63</v>
      </c>
      <c r="E99" s="26" t="s">
        <v>391</v>
      </c>
      <c r="F99" s="26" t="s">
        <v>392</v>
      </c>
      <c r="G99" s="26" t="s">
        <v>393</v>
      </c>
      <c r="H99" s="28" t="s">
        <v>44</v>
      </c>
      <c r="I99" s="29" t="s">
        <v>75</v>
      </c>
      <c r="J99" s="25" t="s">
        <v>3</v>
      </c>
      <c r="K99" s="25"/>
      <c r="L99" s="25"/>
      <c r="M99" s="26"/>
    </row>
    <row r="100" spans="1:13" ht="60" customHeight="1" x14ac:dyDescent="0.25">
      <c r="A100" s="30">
        <v>98</v>
      </c>
      <c r="B100" s="31" t="s">
        <v>15</v>
      </c>
      <c r="C100" s="31" t="s">
        <v>394</v>
      </c>
      <c r="D100" s="33" t="s">
        <v>63</v>
      </c>
      <c r="E100" s="31" t="s">
        <v>395</v>
      </c>
      <c r="F100" s="31" t="s">
        <v>396</v>
      </c>
      <c r="G100" s="31" t="s">
        <v>248</v>
      </c>
      <c r="H100" s="28" t="s">
        <v>44</v>
      </c>
      <c r="I100" s="29" t="s">
        <v>75</v>
      </c>
      <c r="J100" s="30" t="s">
        <v>3</v>
      </c>
      <c r="K100" s="30"/>
      <c r="L100" s="30"/>
      <c r="M100" s="31"/>
    </row>
    <row r="101" spans="1:13" ht="60" customHeight="1" x14ac:dyDescent="0.25">
      <c r="A101" s="25">
        <v>99</v>
      </c>
      <c r="B101" s="26" t="s">
        <v>15</v>
      </c>
      <c r="C101" s="26" t="s">
        <v>397</v>
      </c>
      <c r="D101" s="33" t="s">
        <v>63</v>
      </c>
      <c r="E101" s="26" t="s">
        <v>398</v>
      </c>
      <c r="F101" s="26" t="s">
        <v>399</v>
      </c>
      <c r="G101" s="26" t="s">
        <v>248</v>
      </c>
      <c r="H101" s="28" t="s">
        <v>44</v>
      </c>
      <c r="I101" s="29" t="s">
        <v>75</v>
      </c>
      <c r="J101" s="25" t="s">
        <v>3</v>
      </c>
      <c r="K101" s="25"/>
      <c r="L101" s="25"/>
      <c r="M101" s="26"/>
    </row>
    <row r="102" spans="1:13" ht="60" customHeight="1" x14ac:dyDescent="0.25">
      <c r="A102" s="30">
        <v>100</v>
      </c>
      <c r="B102" s="31" t="s">
        <v>15</v>
      </c>
      <c r="C102" s="31" t="s">
        <v>400</v>
      </c>
      <c r="D102" s="33" t="s">
        <v>63</v>
      </c>
      <c r="E102" s="31" t="s">
        <v>401</v>
      </c>
      <c r="F102" s="31" t="s">
        <v>402</v>
      </c>
      <c r="G102" s="31" t="s">
        <v>248</v>
      </c>
      <c r="H102" s="28" t="s">
        <v>44</v>
      </c>
      <c r="I102" s="29" t="s">
        <v>75</v>
      </c>
      <c r="J102" s="30" t="s">
        <v>3</v>
      </c>
      <c r="K102" s="30"/>
      <c r="L102" s="30"/>
      <c r="M102" s="31"/>
    </row>
    <row r="103" spans="1:13" ht="60" customHeight="1" x14ac:dyDescent="0.25">
      <c r="A103" s="25">
        <v>101</v>
      </c>
      <c r="B103" s="26" t="s">
        <v>15</v>
      </c>
      <c r="C103" s="26" t="s">
        <v>403</v>
      </c>
      <c r="D103" s="33" t="s">
        <v>63</v>
      </c>
      <c r="E103" s="26" t="s">
        <v>404</v>
      </c>
      <c r="F103" s="26" t="s">
        <v>405</v>
      </c>
      <c r="G103" s="26" t="s">
        <v>248</v>
      </c>
      <c r="H103" s="28" t="s">
        <v>44</v>
      </c>
      <c r="I103" s="29" t="s">
        <v>231</v>
      </c>
      <c r="J103" s="25" t="s">
        <v>3</v>
      </c>
      <c r="K103" s="25"/>
      <c r="L103" s="25"/>
      <c r="M103" s="26"/>
    </row>
    <row r="104" spans="1:13" ht="60" customHeight="1" x14ac:dyDescent="0.25">
      <c r="A104" s="30">
        <v>102</v>
      </c>
      <c r="B104" s="31" t="s">
        <v>15</v>
      </c>
      <c r="C104" s="31" t="s">
        <v>406</v>
      </c>
      <c r="D104" s="33" t="s">
        <v>63</v>
      </c>
      <c r="E104" s="31" t="s">
        <v>407</v>
      </c>
      <c r="F104" s="31" t="s">
        <v>408</v>
      </c>
      <c r="G104" s="31" t="s">
        <v>409</v>
      </c>
      <c r="H104" s="28" t="s">
        <v>44</v>
      </c>
      <c r="I104" s="29" t="s">
        <v>75</v>
      </c>
      <c r="J104" s="30" t="s">
        <v>3</v>
      </c>
      <c r="K104" s="30"/>
      <c r="L104" s="30"/>
      <c r="M104" s="31"/>
    </row>
    <row r="105" spans="1:13" ht="60" customHeight="1" x14ac:dyDescent="0.25">
      <c r="A105" s="25">
        <v>103</v>
      </c>
      <c r="B105" s="26" t="s">
        <v>15</v>
      </c>
      <c r="C105" s="26" t="s">
        <v>410</v>
      </c>
      <c r="D105" s="32" t="s">
        <v>53</v>
      </c>
      <c r="E105" s="26" t="s">
        <v>411</v>
      </c>
      <c r="F105" s="26" t="s">
        <v>412</v>
      </c>
      <c r="G105" s="26" t="s">
        <v>413</v>
      </c>
      <c r="H105" s="28" t="s">
        <v>44</v>
      </c>
      <c r="I105" s="29" t="s">
        <v>75</v>
      </c>
      <c r="J105" s="25" t="s">
        <v>3</v>
      </c>
      <c r="K105" s="25"/>
      <c r="L105" s="25"/>
      <c r="M105" s="26"/>
    </row>
    <row r="106" spans="1:13" ht="60" customHeight="1" x14ac:dyDescent="0.25">
      <c r="A106" s="30">
        <v>104</v>
      </c>
      <c r="B106" s="31" t="s">
        <v>15</v>
      </c>
      <c r="C106" s="31" t="s">
        <v>414</v>
      </c>
      <c r="D106" s="32" t="s">
        <v>53</v>
      </c>
      <c r="E106" s="31" t="s">
        <v>415</v>
      </c>
      <c r="F106" s="31" t="s">
        <v>416</v>
      </c>
      <c r="G106" s="31" t="s">
        <v>417</v>
      </c>
      <c r="H106" s="28" t="s">
        <v>44</v>
      </c>
      <c r="I106" s="29" t="s">
        <v>75</v>
      </c>
      <c r="J106" s="30" t="s">
        <v>3</v>
      </c>
      <c r="K106" s="30"/>
      <c r="L106" s="30"/>
      <c r="M106" s="31"/>
    </row>
    <row r="107" spans="1:13" ht="60" customHeight="1" x14ac:dyDescent="0.25">
      <c r="A107" s="25">
        <v>105</v>
      </c>
      <c r="B107" s="26" t="s">
        <v>15</v>
      </c>
      <c r="C107" s="26" t="s">
        <v>418</v>
      </c>
      <c r="D107" s="32" t="s">
        <v>53</v>
      </c>
      <c r="E107" s="26" t="s">
        <v>419</v>
      </c>
      <c r="F107" s="26" t="s">
        <v>420</v>
      </c>
      <c r="G107" s="26" t="s">
        <v>421</v>
      </c>
      <c r="H107" s="28" t="s">
        <v>44</v>
      </c>
      <c r="I107" s="29" t="s">
        <v>75</v>
      </c>
      <c r="J107" s="25" t="s">
        <v>3</v>
      </c>
      <c r="K107" s="25"/>
      <c r="L107" s="25"/>
      <c r="M107" s="26"/>
    </row>
    <row r="108" spans="1:13" ht="60" customHeight="1" x14ac:dyDescent="0.25">
      <c r="A108" s="30">
        <v>106</v>
      </c>
      <c r="B108" s="31" t="s">
        <v>14</v>
      </c>
      <c r="C108" s="31" t="s">
        <v>422</v>
      </c>
      <c r="D108" s="27" t="s">
        <v>40</v>
      </c>
      <c r="E108" s="31" t="s">
        <v>423</v>
      </c>
      <c r="F108" s="31" t="s">
        <v>424</v>
      </c>
      <c r="G108" s="31" t="s">
        <v>425</v>
      </c>
      <c r="H108" s="28" t="s">
        <v>44</v>
      </c>
      <c r="I108" s="29" t="s">
        <v>75</v>
      </c>
      <c r="J108" s="30" t="s">
        <v>3</v>
      </c>
      <c r="K108" s="30"/>
      <c r="L108" s="30"/>
      <c r="M108" s="31"/>
    </row>
    <row r="109" spans="1:13" ht="60" customHeight="1" x14ac:dyDescent="0.25">
      <c r="A109" s="25">
        <v>107</v>
      </c>
      <c r="B109" s="26" t="s">
        <v>14</v>
      </c>
      <c r="C109" s="26" t="s">
        <v>426</v>
      </c>
      <c r="D109" s="27" t="s">
        <v>40</v>
      </c>
      <c r="E109" s="26" t="s">
        <v>427</v>
      </c>
      <c r="F109" s="26" t="s">
        <v>428</v>
      </c>
      <c r="G109" s="26" t="s">
        <v>429</v>
      </c>
      <c r="H109" s="28" t="s">
        <v>44</v>
      </c>
      <c r="I109" s="29" t="s">
        <v>75</v>
      </c>
      <c r="J109" s="25" t="s">
        <v>3</v>
      </c>
      <c r="K109" s="25"/>
      <c r="L109" s="25"/>
      <c r="M109" s="26"/>
    </row>
    <row r="110" spans="1:13" ht="60" customHeight="1" x14ac:dyDescent="0.25">
      <c r="A110" s="30">
        <v>108</v>
      </c>
      <c r="B110" s="31" t="s">
        <v>14</v>
      </c>
      <c r="C110" s="31" t="s">
        <v>430</v>
      </c>
      <c r="D110" s="32" t="s">
        <v>53</v>
      </c>
      <c r="E110" s="31" t="s">
        <v>431</v>
      </c>
      <c r="F110" s="31" t="s">
        <v>432</v>
      </c>
      <c r="G110" s="31" t="s">
        <v>433</v>
      </c>
      <c r="H110" s="28" t="s">
        <v>44</v>
      </c>
      <c r="I110" s="29" t="s">
        <v>75</v>
      </c>
      <c r="J110" s="30" t="s">
        <v>3</v>
      </c>
      <c r="K110" s="30"/>
      <c r="L110" s="30"/>
      <c r="M110" s="31"/>
    </row>
    <row r="111" spans="1:13" ht="60" customHeight="1" x14ac:dyDescent="0.25">
      <c r="A111" s="25">
        <v>109</v>
      </c>
      <c r="B111" s="26" t="s">
        <v>12</v>
      </c>
      <c r="C111" s="26" t="s">
        <v>434</v>
      </c>
      <c r="D111" s="33" t="s">
        <v>63</v>
      </c>
      <c r="E111" s="26" t="s">
        <v>435</v>
      </c>
      <c r="F111" s="26" t="s">
        <v>436</v>
      </c>
      <c r="G111" s="26" t="s">
        <v>437</v>
      </c>
      <c r="H111" s="28" t="s">
        <v>44</v>
      </c>
      <c r="I111" s="29" t="s">
        <v>45</v>
      </c>
      <c r="J111" s="25" t="s">
        <v>3</v>
      </c>
      <c r="K111" s="25"/>
      <c r="L111" s="25"/>
      <c r="M111" s="26"/>
    </row>
    <row r="112" spans="1:13" ht="60" customHeight="1" x14ac:dyDescent="0.25">
      <c r="A112" s="30">
        <v>110</v>
      </c>
      <c r="B112" s="31" t="s">
        <v>11</v>
      </c>
      <c r="C112" s="31" t="s">
        <v>438</v>
      </c>
      <c r="D112" s="27" t="s">
        <v>40</v>
      </c>
      <c r="E112" s="31" t="s">
        <v>439</v>
      </c>
      <c r="F112" s="31" t="s">
        <v>440</v>
      </c>
      <c r="G112" s="31" t="s">
        <v>441</v>
      </c>
      <c r="H112" s="28" t="s">
        <v>44</v>
      </c>
      <c r="I112" s="29" t="s">
        <v>45</v>
      </c>
      <c r="J112" s="30" t="s">
        <v>3</v>
      </c>
      <c r="K112" s="30"/>
      <c r="L112" s="30"/>
      <c r="M112" s="31"/>
    </row>
    <row r="113" spans="1:13" ht="60" customHeight="1" x14ac:dyDescent="0.25">
      <c r="A113" s="25">
        <v>111</v>
      </c>
      <c r="B113" s="26" t="s">
        <v>11</v>
      </c>
      <c r="C113" s="26" t="s">
        <v>442</v>
      </c>
      <c r="D113" s="33" t="s">
        <v>63</v>
      </c>
      <c r="E113" s="26" t="s">
        <v>443</v>
      </c>
      <c r="F113" s="26" t="s">
        <v>444</v>
      </c>
      <c r="G113" s="26" t="s">
        <v>445</v>
      </c>
      <c r="H113" s="28" t="s">
        <v>44</v>
      </c>
      <c r="I113" s="29" t="s">
        <v>45</v>
      </c>
      <c r="J113" s="25" t="s">
        <v>3</v>
      </c>
      <c r="K113" s="25"/>
      <c r="L113" s="25"/>
      <c r="M113" s="26"/>
    </row>
    <row r="114" spans="1:13" ht="60" customHeight="1" x14ac:dyDescent="0.25">
      <c r="A114" s="30">
        <v>112</v>
      </c>
      <c r="B114" s="31" t="s">
        <v>11</v>
      </c>
      <c r="C114" s="31" t="s">
        <v>446</v>
      </c>
      <c r="D114" s="32" t="s">
        <v>53</v>
      </c>
      <c r="E114" s="31" t="s">
        <v>447</v>
      </c>
      <c r="F114" s="31" t="s">
        <v>448</v>
      </c>
      <c r="G114" s="31" t="s">
        <v>449</v>
      </c>
      <c r="H114" s="28" t="s">
        <v>44</v>
      </c>
      <c r="I114" s="29" t="s">
        <v>45</v>
      </c>
      <c r="J114" s="30" t="s">
        <v>3</v>
      </c>
      <c r="K114" s="30"/>
      <c r="L114" s="30"/>
      <c r="M114" s="31"/>
    </row>
    <row r="115" spans="1:13" ht="60" customHeight="1" x14ac:dyDescent="0.25">
      <c r="A115" s="25">
        <v>113</v>
      </c>
      <c r="B115" s="26" t="s">
        <v>11</v>
      </c>
      <c r="C115" s="26" t="s">
        <v>450</v>
      </c>
      <c r="D115" s="33" t="s">
        <v>63</v>
      </c>
      <c r="E115" s="26" t="s">
        <v>451</v>
      </c>
      <c r="F115" s="26" t="s">
        <v>452</v>
      </c>
      <c r="G115" s="26" t="s">
        <v>453</v>
      </c>
      <c r="H115" s="28" t="s">
        <v>44</v>
      </c>
      <c r="I115" s="29" t="s">
        <v>45</v>
      </c>
      <c r="J115" s="25" t="s">
        <v>3</v>
      </c>
      <c r="K115" s="25"/>
      <c r="L115" s="25"/>
      <c r="M115" s="26"/>
    </row>
    <row r="116" spans="1:13" ht="60" customHeight="1" x14ac:dyDescent="0.25">
      <c r="A116" s="30">
        <v>114</v>
      </c>
      <c r="B116" s="31" t="s">
        <v>11</v>
      </c>
      <c r="C116" s="31" t="s">
        <v>454</v>
      </c>
      <c r="D116" s="33" t="s">
        <v>63</v>
      </c>
      <c r="E116" s="31" t="s">
        <v>455</v>
      </c>
      <c r="F116" s="31" t="s">
        <v>456</v>
      </c>
      <c r="G116" s="31" t="s">
        <v>453</v>
      </c>
      <c r="H116" s="28" t="s">
        <v>44</v>
      </c>
      <c r="I116" s="29" t="s">
        <v>45</v>
      </c>
      <c r="J116" s="30" t="s">
        <v>3</v>
      </c>
      <c r="K116" s="30"/>
      <c r="L116" s="30"/>
      <c r="M116" s="31"/>
    </row>
    <row r="117" spans="1:13" ht="60" customHeight="1" x14ac:dyDescent="0.25">
      <c r="A117" s="25">
        <v>115</v>
      </c>
      <c r="B117" s="26" t="s">
        <v>11</v>
      </c>
      <c r="C117" s="26" t="s">
        <v>457</v>
      </c>
      <c r="D117" s="33" t="s">
        <v>63</v>
      </c>
      <c r="E117" s="26" t="s">
        <v>458</v>
      </c>
      <c r="F117" s="26" t="s">
        <v>459</v>
      </c>
      <c r="G117" s="26" t="s">
        <v>460</v>
      </c>
      <c r="H117" s="28" t="s">
        <v>44</v>
      </c>
      <c r="I117" s="29" t="s">
        <v>45</v>
      </c>
      <c r="J117" s="25" t="s">
        <v>3</v>
      </c>
      <c r="K117" s="25"/>
      <c r="L117" s="25"/>
      <c r="M117" s="26"/>
    </row>
    <row r="118" spans="1:13" ht="60" customHeight="1" x14ac:dyDescent="0.25">
      <c r="A118" s="30">
        <v>116</v>
      </c>
      <c r="B118" s="31" t="s">
        <v>11</v>
      </c>
      <c r="C118" s="31" t="s">
        <v>461</v>
      </c>
      <c r="D118" s="33" t="s">
        <v>63</v>
      </c>
      <c r="E118" s="31" t="s">
        <v>462</v>
      </c>
      <c r="F118" s="31" t="s">
        <v>463</v>
      </c>
      <c r="G118" s="31" t="s">
        <v>464</v>
      </c>
      <c r="H118" s="28" t="s">
        <v>44</v>
      </c>
      <c r="I118" s="29" t="s">
        <v>45</v>
      </c>
      <c r="J118" s="30" t="s">
        <v>3</v>
      </c>
      <c r="K118" s="30"/>
      <c r="L118" s="30"/>
      <c r="M118" s="31"/>
    </row>
    <row r="119" spans="1:13" ht="60" customHeight="1" x14ac:dyDescent="0.25">
      <c r="A119" s="25">
        <v>117</v>
      </c>
      <c r="B119" s="26" t="s">
        <v>11</v>
      </c>
      <c r="C119" s="26" t="s">
        <v>465</v>
      </c>
      <c r="D119" s="33" t="s">
        <v>63</v>
      </c>
      <c r="E119" s="26" t="s">
        <v>466</v>
      </c>
      <c r="F119" s="26" t="s">
        <v>467</v>
      </c>
      <c r="G119" s="26" t="s">
        <v>453</v>
      </c>
      <c r="H119" s="28" t="s">
        <v>44</v>
      </c>
      <c r="I119" s="29" t="s">
        <v>45</v>
      </c>
      <c r="J119" s="25" t="s">
        <v>3</v>
      </c>
      <c r="K119" s="25"/>
      <c r="L119" s="25"/>
      <c r="M119" s="26"/>
    </row>
    <row r="120" spans="1:13" ht="60" customHeight="1" x14ac:dyDescent="0.25">
      <c r="A120" s="30">
        <v>118</v>
      </c>
      <c r="B120" s="31" t="s">
        <v>11</v>
      </c>
      <c r="C120" s="31" t="s">
        <v>468</v>
      </c>
      <c r="D120" s="27" t="s">
        <v>40</v>
      </c>
      <c r="E120" s="31" t="s">
        <v>469</v>
      </c>
      <c r="F120" s="31" t="s">
        <v>470</v>
      </c>
      <c r="G120" s="31" t="s">
        <v>441</v>
      </c>
      <c r="H120" s="28" t="s">
        <v>44</v>
      </c>
      <c r="I120" s="29" t="s">
        <v>45</v>
      </c>
      <c r="J120" s="30" t="s">
        <v>3</v>
      </c>
      <c r="K120" s="30"/>
      <c r="L120" s="30"/>
      <c r="M120" s="31"/>
    </row>
    <row r="121" spans="1:13" ht="60" customHeight="1" x14ac:dyDescent="0.25">
      <c r="A121" s="25">
        <v>119</v>
      </c>
      <c r="B121" s="26" t="s">
        <v>18</v>
      </c>
      <c r="C121" s="26" t="s">
        <v>471</v>
      </c>
      <c r="D121" s="27" t="s">
        <v>40</v>
      </c>
      <c r="E121" s="26" t="s">
        <v>472</v>
      </c>
      <c r="F121" s="26" t="s">
        <v>473</v>
      </c>
      <c r="G121" s="26" t="s">
        <v>474</v>
      </c>
      <c r="H121" s="28" t="s">
        <v>44</v>
      </c>
      <c r="I121" s="29" t="s">
        <v>45</v>
      </c>
      <c r="J121" s="25" t="s">
        <v>3</v>
      </c>
      <c r="K121" s="25"/>
      <c r="L121" s="25"/>
      <c r="M121" s="26"/>
    </row>
    <row r="122" spans="1:13" ht="60" customHeight="1" x14ac:dyDescent="0.25">
      <c r="A122" s="30">
        <v>120</v>
      </c>
      <c r="B122" s="31" t="s">
        <v>18</v>
      </c>
      <c r="C122" s="31" t="s">
        <v>475</v>
      </c>
      <c r="D122" s="33" t="s">
        <v>63</v>
      </c>
      <c r="E122" s="31" t="s">
        <v>476</v>
      </c>
      <c r="F122" s="31" t="s">
        <v>477</v>
      </c>
      <c r="G122" s="31" t="s">
        <v>136</v>
      </c>
      <c r="H122" s="28" t="s">
        <v>44</v>
      </c>
      <c r="I122" s="29" t="s">
        <v>45</v>
      </c>
      <c r="J122" s="30" t="s">
        <v>3</v>
      </c>
      <c r="K122" s="30"/>
      <c r="L122" s="30"/>
      <c r="M122" s="31"/>
    </row>
    <row r="123" spans="1:13" ht="60" customHeight="1" x14ac:dyDescent="0.25">
      <c r="A123" s="25">
        <v>121</v>
      </c>
      <c r="B123" s="26" t="s">
        <v>18</v>
      </c>
      <c r="C123" s="26" t="s">
        <v>478</v>
      </c>
      <c r="D123" s="33" t="s">
        <v>63</v>
      </c>
      <c r="E123" s="26" t="s">
        <v>479</v>
      </c>
      <c r="F123" s="26" t="s">
        <v>480</v>
      </c>
      <c r="G123" s="26" t="s">
        <v>481</v>
      </c>
      <c r="H123" s="28" t="s">
        <v>44</v>
      </c>
      <c r="I123" s="29" t="s">
        <v>45</v>
      </c>
      <c r="J123" s="25" t="s">
        <v>3</v>
      </c>
      <c r="K123" s="25"/>
      <c r="L123" s="25"/>
      <c r="M123" s="26"/>
    </row>
    <row r="124" spans="1:13" ht="60" customHeight="1" x14ac:dyDescent="0.25">
      <c r="A124" s="30">
        <v>122</v>
      </c>
      <c r="B124" s="31" t="s">
        <v>19</v>
      </c>
      <c r="C124" s="31" t="s">
        <v>482</v>
      </c>
      <c r="D124" s="27" t="s">
        <v>40</v>
      </c>
      <c r="E124" s="31" t="s">
        <v>483</v>
      </c>
      <c r="F124" s="31" t="s">
        <v>484</v>
      </c>
      <c r="G124" s="31" t="s">
        <v>485</v>
      </c>
      <c r="H124" s="28" t="s">
        <v>44</v>
      </c>
      <c r="I124" s="29" t="s">
        <v>45</v>
      </c>
      <c r="J124" s="30" t="s">
        <v>3</v>
      </c>
      <c r="K124" s="30"/>
      <c r="L124" s="30"/>
      <c r="M124" s="31"/>
    </row>
  </sheetData>
  <mergeCells count="1">
    <mergeCell ref="A1:M1"/>
  </mergeCells>
  <conditionalFormatting sqref="A3:M124">
    <cfRule type="expression" dxfId="3" priority="2">
      <formula>$J3="Done"</formula>
    </cfRule>
    <cfRule type="expression" dxfId="2" priority="3">
      <formula>$J3="In Progress"</formula>
    </cfRule>
    <cfRule type="expression" dxfId="1" priority="4">
      <formula>$J3="Skipped"</formula>
    </cfRule>
    <cfRule type="expression" dxfId="0" priority="5">
      <formula>$J3="N/A"</formula>
    </cfRule>
  </conditionalFormatting>
  <dataValidations count="1">
    <dataValidation type="list" allowBlank="1" sqref="J3:J124" xr:uid="{00000000-0002-0000-0100-000000000000}">
      <formula1>"Not Started,In Progress,Done,Skipped,N/A"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showGridLines="0" zoomScaleNormal="100" workbookViewId="0">
      <selection sqref="A1:G1"/>
    </sheetView>
  </sheetViews>
  <sheetFormatPr defaultColWidth="8.7109375" defaultRowHeight="15" x14ac:dyDescent="0.25"/>
  <cols>
    <col min="1" max="1" width="5" customWidth="1"/>
    <col min="2" max="2" width="30" customWidth="1"/>
    <col min="3" max="3" width="38" customWidth="1"/>
    <col min="4" max="4" width="14" customWidth="1"/>
    <col min="5" max="5" width="22" customWidth="1"/>
    <col min="6" max="6" width="44" customWidth="1"/>
    <col min="7" max="7" width="16" customWidth="1"/>
  </cols>
  <sheetData>
    <row r="1" spans="1:7" ht="24" customHeight="1" x14ac:dyDescent="0.25">
      <c r="A1" s="3" t="s">
        <v>486</v>
      </c>
      <c r="B1" s="3"/>
      <c r="C1" s="3"/>
      <c r="D1" s="3"/>
      <c r="E1" s="3"/>
      <c r="F1" s="3"/>
      <c r="G1" s="3"/>
    </row>
    <row r="2" spans="1:7" ht="19.5" customHeight="1" x14ac:dyDescent="0.25">
      <c r="A2" s="34" t="s">
        <v>27</v>
      </c>
      <c r="B2" s="34" t="s">
        <v>8</v>
      </c>
      <c r="C2" s="34" t="s">
        <v>28</v>
      </c>
      <c r="D2" s="34" t="s">
        <v>29</v>
      </c>
      <c r="E2" s="34" t="s">
        <v>34</v>
      </c>
      <c r="F2" s="34" t="s">
        <v>487</v>
      </c>
      <c r="G2" s="34" t="s">
        <v>488</v>
      </c>
    </row>
    <row r="3" spans="1:7" ht="18" customHeight="1" x14ac:dyDescent="0.25">
      <c r="A3" s="35"/>
      <c r="B3" s="35"/>
      <c r="C3" s="35"/>
      <c r="D3" s="35"/>
      <c r="E3" s="35"/>
      <c r="F3" s="35"/>
      <c r="G3" s="35"/>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21"/>
  <sheetViews>
    <sheetView showGridLines="0" tabSelected="1" zoomScaleNormal="100" workbookViewId="0"/>
  </sheetViews>
  <sheetFormatPr defaultColWidth="8.7109375" defaultRowHeight="15" x14ac:dyDescent="0.25"/>
  <cols>
    <col min="1" max="1" width="3" customWidth="1"/>
    <col min="2" max="2" width="28" customWidth="1"/>
    <col min="3" max="3" width="70" customWidth="1"/>
    <col min="4" max="4" width="3" customWidth="1"/>
  </cols>
  <sheetData>
    <row r="1" spans="2:3" ht="27.75" customHeight="1" x14ac:dyDescent="0.25">
      <c r="B1" s="2" t="s">
        <v>489</v>
      </c>
      <c r="C1" s="2"/>
    </row>
    <row r="2" spans="2:3" ht="19.5" customHeight="1" x14ac:dyDescent="0.25">
      <c r="B2" s="1" t="s">
        <v>490</v>
      </c>
      <c r="C2" s="1"/>
    </row>
    <row r="3" spans="2:3" ht="42" customHeight="1" x14ac:dyDescent="0.25">
      <c r="B3" s="36" t="s">
        <v>491</v>
      </c>
      <c r="C3" s="31" t="s">
        <v>492</v>
      </c>
    </row>
    <row r="4" spans="2:3" ht="42" customHeight="1" x14ac:dyDescent="0.25">
      <c r="B4" s="37" t="s">
        <v>493</v>
      </c>
      <c r="C4" s="26" t="s">
        <v>494</v>
      </c>
    </row>
    <row r="5" spans="2:3" ht="42" customHeight="1" x14ac:dyDescent="0.25">
      <c r="B5" s="36" t="s">
        <v>495</v>
      </c>
      <c r="C5" s="31" t="s">
        <v>496</v>
      </c>
    </row>
    <row r="6" spans="2:3" ht="42" customHeight="1" x14ac:dyDescent="0.25">
      <c r="B6" s="37" t="s">
        <v>497</v>
      </c>
      <c r="C6" s="26" t="s">
        <v>498</v>
      </c>
    </row>
    <row r="7" spans="2:3" ht="42" customHeight="1" x14ac:dyDescent="0.25">
      <c r="B7" s="36" t="s">
        <v>499</v>
      </c>
      <c r="C7" s="31" t="s">
        <v>500</v>
      </c>
    </row>
    <row r="8" spans="2:3" ht="42" customHeight="1" x14ac:dyDescent="0.25">
      <c r="B8" s="37" t="s">
        <v>501</v>
      </c>
      <c r="C8" s="26" t="s">
        <v>502</v>
      </c>
    </row>
    <row r="9" spans="2:3" ht="42" customHeight="1" x14ac:dyDescent="0.25">
      <c r="B9" s="36" t="s">
        <v>503</v>
      </c>
      <c r="C9" s="31" t="s">
        <v>504</v>
      </c>
    </row>
    <row r="10" spans="2:3" ht="42" customHeight="1" x14ac:dyDescent="0.25">
      <c r="B10" s="37" t="s">
        <v>505</v>
      </c>
      <c r="C10" s="26" t="s">
        <v>506</v>
      </c>
    </row>
    <row r="11" spans="2:3" ht="7.5" customHeight="1" x14ac:dyDescent="0.25"/>
    <row r="12" spans="2:3" ht="19.5" customHeight="1" x14ac:dyDescent="0.25">
      <c r="B12" s="1" t="s">
        <v>507</v>
      </c>
      <c r="C12" s="1"/>
    </row>
    <row r="13" spans="2:3" ht="42" customHeight="1" x14ac:dyDescent="0.25">
      <c r="B13" s="36" t="s">
        <v>29</v>
      </c>
      <c r="C13" s="31" t="s">
        <v>508</v>
      </c>
    </row>
    <row r="14" spans="2:3" ht="42" customHeight="1" x14ac:dyDescent="0.25">
      <c r="B14" s="37" t="s">
        <v>509</v>
      </c>
      <c r="C14" s="26" t="s">
        <v>510</v>
      </c>
    </row>
    <row r="15" spans="2:3" ht="42" customHeight="1" x14ac:dyDescent="0.25">
      <c r="B15" s="36" t="s">
        <v>511</v>
      </c>
      <c r="C15" s="31" t="s">
        <v>512</v>
      </c>
    </row>
    <row r="16" spans="2:3" ht="42" customHeight="1" x14ac:dyDescent="0.25">
      <c r="B16" s="37" t="s">
        <v>513</v>
      </c>
      <c r="C16" s="26" t="s">
        <v>514</v>
      </c>
    </row>
    <row r="17" spans="2:3" ht="7.5" customHeight="1" x14ac:dyDescent="0.25"/>
    <row r="18" spans="2:3" ht="19.5" customHeight="1" x14ac:dyDescent="0.25">
      <c r="B18" s="1" t="s">
        <v>515</v>
      </c>
      <c r="C18" s="1"/>
    </row>
    <row r="19" spans="2:3" ht="42" customHeight="1" x14ac:dyDescent="0.25">
      <c r="B19" s="36" t="s">
        <v>516</v>
      </c>
      <c r="C19" s="31" t="s">
        <v>517</v>
      </c>
    </row>
    <row r="20" spans="2:3" ht="42" customHeight="1" x14ac:dyDescent="0.25">
      <c r="B20" s="37" t="s">
        <v>518</v>
      </c>
      <c r="C20" s="26" t="s">
        <v>519</v>
      </c>
    </row>
    <row r="21" spans="2:3" ht="42" customHeight="1" x14ac:dyDescent="0.25">
      <c r="B21" s="36" t="s">
        <v>520</v>
      </c>
      <c r="C21" s="31" t="s">
        <v>521</v>
      </c>
    </row>
  </sheetData>
  <mergeCells count="4">
    <mergeCell ref="B1:C1"/>
    <mergeCell ref="B2:C2"/>
    <mergeCell ref="B12:C12"/>
    <mergeCell ref="B18:C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Dashboard</vt:lpstr>
      <vt:lpstr>✅ Checklist</vt:lpstr>
      <vt:lpstr>🚫 Excluded Items</vt:lpstr>
      <vt:lpstr>📖 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Anthony Johnson</cp:lastModifiedBy>
  <cp:revision>0</cp:revision>
  <dcterms:created xsi:type="dcterms:W3CDTF">2026-06-12T16:10:09Z</dcterms:created>
  <dcterms:modified xsi:type="dcterms:W3CDTF">2026-06-12T16:58:21Z</dcterms:modified>
  <dc:language>en-US</dc:language>
</cp:coreProperties>
</file>